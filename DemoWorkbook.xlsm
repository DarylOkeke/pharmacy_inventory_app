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docProps/core0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6" Type="http://schemas.openxmlformats.org/package/2006/relationships/meatadata/core-properties" Target="docProps/core0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029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okek\OneDrive\GitHub\clinical_pharmacy_automation\pharmacy_inventory_app\"/>
    </mc:Choice>
  </mc:AlternateContent>
  <xr:revisionPtr revIDLastSave="0" documentId="13_ncr:1_{85CFC422-A034-46D7-9137-AEB9AE6E3BF1}" xr6:coauthVersionLast="47" xr6:coauthVersionMax="47" xr10:uidLastSave="{00000000-0000-0000-0000-000000000000}"/>
  <bookViews>
    <workbookView xWindow="-120" yWindow="-120" windowWidth="38640" windowHeight="21120" firstSheet="1" activeTab="1" xr2:uid="{00000000-000D-0000-FFFF-FFFF00000000}"/>
  </bookViews>
  <sheets>
    <sheet name="LoggedInventory" sheetId="85" state="veryHidden" r:id="rId1"/>
    <sheet name="About" sheetId="93" r:id="rId2"/>
    <sheet name="HOME" sheetId="14" r:id="rId3"/>
    <sheet name="PhysicalCount" sheetId="3" state="veryHidden" r:id="rId4"/>
    <sheet name="SupplierData" sheetId="4" state="veryHidden" r:id="rId5"/>
    <sheet name="Report" sheetId="140" state="veryHidden" r:id="rId6"/>
    <sheet name="Sheet25" sheetId="144" state="veryHidden" r:id="rId7"/>
    <sheet name="Config" sheetId="77" state="veryHidden" r:id="rId8"/>
    <sheet name="SupplierPresets" sheetId="79" state="veryHidden" r:id="rId9"/>
    <sheet name="Sheet4" sheetId="151" state="veryHidden" r:id="rId10"/>
    <sheet name="Sheet10" sheetId="157" state="veryHidden" r:id="rId11"/>
    <sheet name="SampleData" sheetId="197" state="veryHidden" r:id="rId12"/>
    <sheet name="Sample Analytics" sheetId="198" state="veryHidden" r:id="rId13"/>
  </sheets>
  <functionGroups builtInGroupCount="19">
    <functionGroup name="ChatGPT for Excel - TwistlyCells"/>
    <functionGroup name="GPT for Excel Word"/>
  </functionGroups>
  <definedNames>
    <definedName name="_xleta.NOW" hidden="1" xlm="1">#NAME?</definedName>
    <definedName name="Canister">#REF!</definedName>
    <definedName name="NDC_Lookup">#REF!</definedName>
    <definedName name="NDC_Tech">PhysicalCount!$G$10:$H$734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11" i="93" l="1"/>
  <c r="R10" i="9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4979841-4F0A-454E-825B-8B4BB292B5D0}" keepAlive="1" name="Query - matched_medications" description="Connection to the 'matched_medications' query in the workbook." type="5" refreshedVersion="8" background="1" saveData="1">
    <dbPr connection="Provider=Microsoft.Mashup.OleDb.1;Data Source=$Workbook$;Location=matched_medications;Extended Properties=&quot;&quot;" command="SELECT * FROM [matched_medications]"/>
  </connection>
</connections>
</file>

<file path=xl/sharedStrings.xml><?xml version="1.0" encoding="utf-8"?>
<sst xmlns="http://schemas.openxmlformats.org/spreadsheetml/2006/main" count="1592" uniqueCount="482">
  <si>
    <t>Description</t>
  </si>
  <si>
    <t>Manufacturer</t>
  </si>
  <si>
    <t>Count</t>
  </si>
  <si>
    <t>Date Logged</t>
  </si>
  <si>
    <t>Status</t>
  </si>
  <si>
    <t>Comments</t>
  </si>
  <si>
    <t>It contains no patient health information (PHI) or real pharmacy operational data.</t>
  </si>
  <si>
    <t>This tool is not validated for clinical or operational use and should not be relied upon for medication ordering, dispensing, or inventory management in a real-world pharmacy setting.</t>
  </si>
  <si>
    <t>Use of this code or files is at your own risk.</t>
  </si>
  <si>
    <t>Drug 1</t>
  </si>
  <si>
    <t>Drug 2</t>
  </si>
  <si>
    <t>Drug 3</t>
  </si>
  <si>
    <t>Drug 4</t>
  </si>
  <si>
    <t>Drug 5</t>
  </si>
  <si>
    <t>Drug 6</t>
  </si>
  <si>
    <t>Drug 7</t>
  </si>
  <si>
    <t>Drug 8</t>
  </si>
  <si>
    <t>Drug 9</t>
  </si>
  <si>
    <t>Drug 10</t>
  </si>
  <si>
    <t>Drug 11</t>
  </si>
  <si>
    <t>Drug 12</t>
  </si>
  <si>
    <t>Drug 13</t>
  </si>
  <si>
    <t>Drug 14</t>
  </si>
  <si>
    <t>Drug 15</t>
  </si>
  <si>
    <t>Drug 16</t>
  </si>
  <si>
    <t>Drug 17</t>
  </si>
  <si>
    <t>Drug 18</t>
  </si>
  <si>
    <t>Drug 19</t>
  </si>
  <si>
    <t>Drug 20</t>
  </si>
  <si>
    <t>Drug 21</t>
  </si>
  <si>
    <t>Drug 22</t>
  </si>
  <si>
    <t>Drug 23</t>
  </si>
  <si>
    <t>Drug 24</t>
  </si>
  <si>
    <t>Drug 25</t>
  </si>
  <si>
    <t>Drug 26</t>
  </si>
  <si>
    <t>Drug 27</t>
  </si>
  <si>
    <t>Drug 28</t>
  </si>
  <si>
    <t>Drug 29</t>
  </si>
  <si>
    <t>Drug 30</t>
  </si>
  <si>
    <t>Drug 31</t>
  </si>
  <si>
    <t>Drug 32</t>
  </si>
  <si>
    <t>Drug 33</t>
  </si>
  <si>
    <t>Drug 34</t>
  </si>
  <si>
    <t>Drug 35</t>
  </si>
  <si>
    <t>Drug 36</t>
  </si>
  <si>
    <t>Drug 37</t>
  </si>
  <si>
    <t>Drug 38</t>
  </si>
  <si>
    <t>Drug 39</t>
  </si>
  <si>
    <t>Drug 40</t>
  </si>
  <si>
    <t>Drug 41</t>
  </si>
  <si>
    <t>Drug 42</t>
  </si>
  <si>
    <t>Drug 43</t>
  </si>
  <si>
    <t>Drug 44</t>
  </si>
  <si>
    <t>Drug 45</t>
  </si>
  <si>
    <t>Drug 46</t>
  </si>
  <si>
    <t>Drug 47</t>
  </si>
  <si>
    <t>Drug 48</t>
  </si>
  <si>
    <t>Drug 49</t>
  </si>
  <si>
    <t>Drug 50</t>
  </si>
  <si>
    <t>Drug 51</t>
  </si>
  <si>
    <t>Drug 52</t>
  </si>
  <si>
    <t>Drug 53</t>
  </si>
  <si>
    <t>Drug 54</t>
  </si>
  <si>
    <t>Drug 55</t>
  </si>
  <si>
    <t>Drug 56</t>
  </si>
  <si>
    <t>Drug 57</t>
  </si>
  <si>
    <t>Drug 58</t>
  </si>
  <si>
    <t>Drug 59</t>
  </si>
  <si>
    <t>Drug 60</t>
  </si>
  <si>
    <t>Drug 61</t>
  </si>
  <si>
    <t>Drug 62</t>
  </si>
  <si>
    <t>Drug 63</t>
  </si>
  <si>
    <t>Drug 64</t>
  </si>
  <si>
    <t>Drug 65</t>
  </si>
  <si>
    <t>Drug 66</t>
  </si>
  <si>
    <t>Drug 67</t>
  </si>
  <si>
    <t>Drug 68</t>
  </si>
  <si>
    <t>Drug 69</t>
  </si>
  <si>
    <t>Drug 70</t>
  </si>
  <si>
    <t>Drug 71</t>
  </si>
  <si>
    <t>Drug 72</t>
  </si>
  <si>
    <t>Drug 73</t>
  </si>
  <si>
    <t>Drug 74</t>
  </si>
  <si>
    <t>Drug 75</t>
  </si>
  <si>
    <t>Drug 76</t>
  </si>
  <si>
    <t>Drug 77</t>
  </si>
  <si>
    <t>Drug 78</t>
  </si>
  <si>
    <t>Drug 79</t>
  </si>
  <si>
    <t>Drug 80</t>
  </si>
  <si>
    <t>Drug 81</t>
  </si>
  <si>
    <t>Drug 82</t>
  </si>
  <si>
    <t>Drug 83</t>
  </si>
  <si>
    <t>Drug 84</t>
  </si>
  <si>
    <t>Drug 85</t>
  </si>
  <si>
    <t>Drug 86</t>
  </si>
  <si>
    <t>Drug 87</t>
  </si>
  <si>
    <t>Drug 88</t>
  </si>
  <si>
    <t>Drug 89</t>
  </si>
  <si>
    <t>Drug 90</t>
  </si>
  <si>
    <t>Drug 91</t>
  </si>
  <si>
    <t>Drug 92</t>
  </si>
  <si>
    <t>Drug 93</t>
  </si>
  <si>
    <t>Drug 94</t>
  </si>
  <si>
    <t>Drug 95</t>
  </si>
  <si>
    <t>Drug 96</t>
  </si>
  <si>
    <t>Drug 97</t>
  </si>
  <si>
    <t>Drug 98</t>
  </si>
  <si>
    <t>Drug 99</t>
  </si>
  <si>
    <t>Drug 100</t>
  </si>
  <si>
    <t>Drug Name</t>
  </si>
  <si>
    <t>Drug ID</t>
  </si>
  <si>
    <t>Expected Quantity</t>
  </si>
  <si>
    <t>Physical Inventory Input Sheet</t>
  </si>
  <si>
    <t>Canister Number</t>
  </si>
  <si>
    <t>Zenitha Pharma</t>
  </si>
  <si>
    <t>Medora Therapeutics</t>
  </si>
  <si>
    <t>Novacare Biosciences</t>
  </si>
  <si>
    <t>Curevia Health</t>
  </si>
  <si>
    <t>Trivion Pharmaceuticals</t>
  </si>
  <si>
    <t>BioAxis Labs</t>
  </si>
  <si>
    <t>CardiaGenix</t>
  </si>
  <si>
    <t>Luminex Biocare</t>
  </si>
  <si>
    <t>VetraPharm</t>
  </si>
  <si>
    <t>MediSure Technologies</t>
  </si>
  <si>
    <t>Genomedix</t>
  </si>
  <si>
    <t>Nexora Healthworks</t>
  </si>
  <si>
    <t>Vitalis Therapeutics</t>
  </si>
  <si>
    <t>Helixon Pharma</t>
  </si>
  <si>
    <t>Optivida Life Sciences</t>
  </si>
  <si>
    <t>Cureline Medical</t>
  </si>
  <si>
    <t>Pharmexa Innovations</t>
  </si>
  <si>
    <t>Altrion Biosystems</t>
  </si>
  <si>
    <t>Auronex Health</t>
  </si>
  <si>
    <t>Medisyn Laboratories</t>
  </si>
  <si>
    <t>Theravax Global</t>
  </si>
  <si>
    <t>Clarion Health Solutions</t>
  </si>
  <si>
    <t>VitaCore Pharma</t>
  </si>
  <si>
    <t>Oncera Biosciences</t>
  </si>
  <si>
    <t>Equilife Therapeutics</t>
  </si>
  <si>
    <t>Seraphis Pharmaceuticals</t>
  </si>
  <si>
    <t>Medisera Biotech</t>
  </si>
  <si>
    <t>BioLuma Health</t>
  </si>
  <si>
    <t>NeutraGen Labs</t>
  </si>
  <si>
    <t>Evivion Therapeutics</t>
  </si>
  <si>
    <t>Paxwell Pharma</t>
  </si>
  <si>
    <t>Endura Health Group</t>
  </si>
  <si>
    <t>Gladia Therapeutics</t>
  </si>
  <si>
    <t>Neovida LifeCare</t>
  </si>
  <si>
    <t>MedVanta Biosciences</t>
  </si>
  <si>
    <t>Trionova Health Systems</t>
  </si>
  <si>
    <t>Velora Therapeutics</t>
  </si>
  <si>
    <t>AxisMeds International</t>
  </si>
  <si>
    <t>Lumora Health</t>
  </si>
  <si>
    <t>Medivance Global</t>
  </si>
  <si>
    <t>Carida Healthworks</t>
  </si>
  <si>
    <t>NovaThera Medical</t>
  </si>
  <si>
    <t>BioSure Life Sciences</t>
  </si>
  <si>
    <t>Elara Therapeutics</t>
  </si>
  <si>
    <t>Vitara HealthCorp</t>
  </si>
  <si>
    <t>Omnivida Pharma</t>
  </si>
  <si>
    <t>Cenexa Biopharma</t>
  </si>
  <si>
    <t>Veritas Biocare</t>
  </si>
  <si>
    <t>Mediquest Solutions</t>
  </si>
  <si>
    <t>Aluvion Health</t>
  </si>
  <si>
    <t>Quantis Pharma</t>
  </si>
  <si>
    <t>Actisyn Therapeutics</t>
  </si>
  <si>
    <t>Synova Health</t>
  </si>
  <si>
    <t>ProVantage Biosciences</t>
  </si>
  <si>
    <t>Corevia Pharma</t>
  </si>
  <si>
    <t>Elevion HealthWorks</t>
  </si>
  <si>
    <t>CureStar Therapeutics</t>
  </si>
  <si>
    <t>Vitalex Global</t>
  </si>
  <si>
    <t>Nuvio HealthCorp</t>
  </si>
  <si>
    <t>Genavax Biocare</t>
  </si>
  <si>
    <t>Arcadia Therapeutics</t>
  </si>
  <si>
    <t>BioCrest Pharma</t>
  </si>
  <si>
    <t>Clarionix Life Sciences</t>
  </si>
  <si>
    <t>Avelis Health</t>
  </si>
  <si>
    <t>MediNex Global</t>
  </si>
  <si>
    <t>NexThera Innovations</t>
  </si>
  <si>
    <t>Triavex Health</t>
  </si>
  <si>
    <t>CureLink Therapeutics</t>
  </si>
  <si>
    <t>Vertexa LifeWorks</t>
  </si>
  <si>
    <t>Quantiva Health Systems</t>
  </si>
  <si>
    <t>PharMatrix Biosciences</t>
  </si>
  <si>
    <t>Optivex Pharma</t>
  </si>
  <si>
    <t>Helixera HealthTech</t>
  </si>
  <si>
    <t>NovaPhoria Therapeutics</t>
  </si>
  <si>
    <t>VitalBridge Pharma</t>
  </si>
  <si>
    <t>Evora HealthWorks</t>
  </si>
  <si>
    <t>BioClarity Labs</t>
  </si>
  <si>
    <t>Medaris Life Sciences</t>
  </si>
  <si>
    <t>Genura Therapeutics</t>
  </si>
  <si>
    <t>Carevia Biosciences</t>
  </si>
  <si>
    <t>ZenithCare Health</t>
  </si>
  <si>
    <t>Lumina Therapeutics</t>
  </si>
  <si>
    <t>NeutraLink Pharma</t>
  </si>
  <si>
    <t>ProviCore Biosciences</t>
  </si>
  <si>
    <t>Activa Health Systems</t>
  </si>
  <si>
    <t>BioSphere Therapeutics</t>
  </si>
  <si>
    <t>Medivion HealthCorp</t>
  </si>
  <si>
    <t>Luminis Biosciences</t>
  </si>
  <si>
    <t>CardiaWell Health</t>
  </si>
  <si>
    <t>CurePath Therapeutics</t>
  </si>
  <si>
    <t>NexBridge Pharma</t>
  </si>
  <si>
    <t>Velora Life Sciences</t>
  </si>
  <si>
    <t>MediSure HealthWorks</t>
  </si>
  <si>
    <t>ClarionPath Therapeutics</t>
  </si>
  <si>
    <t>Zenexa Biosystems</t>
  </si>
  <si>
    <t>OptiCure Pharma</t>
  </si>
  <si>
    <t>NovaLuma Therapeutics</t>
  </si>
  <si>
    <t>Trivion Life Sciences</t>
  </si>
  <si>
    <t>Evexis HealthCorp</t>
  </si>
  <si>
    <t>BioAxis Therapeutics</t>
  </si>
  <si>
    <t>Extended Release Tablets</t>
  </si>
  <si>
    <t>Immediate Release Tablets</t>
  </si>
  <si>
    <t>Oral Suspension</t>
  </si>
  <si>
    <t>Injectable Solution</t>
  </si>
  <si>
    <t>Topical Cream</t>
  </si>
  <si>
    <t>Chewable Tablets</t>
  </si>
  <si>
    <t>Nasal Spray</t>
  </si>
  <si>
    <t>Ophthalmic Drops</t>
  </si>
  <si>
    <t>Inhalation Powder</t>
  </si>
  <si>
    <t>Transdermal Patch</t>
  </si>
  <si>
    <t>Capsules</t>
  </si>
  <si>
    <t>Oral Disintegrating Tablets</t>
  </si>
  <si>
    <t>Sublingual Tablets</t>
  </si>
  <si>
    <t>Extended Release Capsules</t>
  </si>
  <si>
    <t>Powder for Reconstitution</t>
  </si>
  <si>
    <t>Topical Gel</t>
  </si>
  <si>
    <t>Rectal Suppositories</t>
  </si>
  <si>
    <t>Buccal Film</t>
  </si>
  <si>
    <t>Oral Granules</t>
  </si>
  <si>
    <t>Inhalation Aerosol</t>
  </si>
  <si>
    <t>Oral Elixir</t>
  </si>
  <si>
    <t>Topical Lotion</t>
  </si>
  <si>
    <t>Intravenous Infusion</t>
  </si>
  <si>
    <t>Subcutaneous Injection</t>
  </si>
  <si>
    <t>Intramuscular Injection</t>
  </si>
  <si>
    <t>Topical Ointment</t>
  </si>
  <si>
    <t>Vaginal Cream</t>
  </si>
  <si>
    <t>Lozenges</t>
  </si>
  <si>
    <t>Topical Foam</t>
  </si>
  <si>
    <t>Nasal Gel</t>
  </si>
  <si>
    <t>Extended Release Lozenges</t>
  </si>
  <si>
    <t>Topical Solution</t>
  </si>
  <si>
    <t>Oral Film</t>
  </si>
  <si>
    <t>Effervescent Tablets</t>
  </si>
  <si>
    <t>Topical Spray</t>
  </si>
  <si>
    <t>Sustained Release Tablets</t>
  </si>
  <si>
    <t>Intranasal Powder</t>
  </si>
  <si>
    <t>Oral Paste</t>
  </si>
  <si>
    <t>Oral Powder Packets</t>
  </si>
  <si>
    <t>Topical Balm</t>
  </si>
  <si>
    <t>Topical Patch</t>
  </si>
  <si>
    <t>Sublingual Film</t>
  </si>
  <si>
    <t>Oral Drops</t>
  </si>
  <si>
    <t>Oral Syrup</t>
  </si>
  <si>
    <t>Metered Dose Inhaler</t>
  </si>
  <si>
    <t>Dry Powder Inhaler</t>
  </si>
  <si>
    <t>Intravenous Bolus</t>
  </si>
  <si>
    <t>Vaginal Suppositories</t>
  </si>
  <si>
    <t>Topical Serum</t>
  </si>
  <si>
    <t>Mouth Rinse Solution</t>
  </si>
  <si>
    <t>Oral Effervescent Granules</t>
  </si>
  <si>
    <t>Transmucosal Lozenge</t>
  </si>
  <si>
    <t>Intravitreal Injection</t>
  </si>
  <si>
    <t>Oral Chewable Gel</t>
  </si>
  <si>
    <t>Topical Emulsion</t>
  </si>
  <si>
    <t>Oral Controlled Release Capsules</t>
  </si>
  <si>
    <t>Implantable Pellet</t>
  </si>
  <si>
    <t>Topical Cleansing Foam</t>
  </si>
  <si>
    <t>Medicated Shampoo</t>
  </si>
  <si>
    <t>Medicated Mouthwash</t>
  </si>
  <si>
    <t>Oral Wafer</t>
  </si>
  <si>
    <t>Oral Suspension Concentrate</t>
  </si>
  <si>
    <t>Sustained Release Capsules</t>
  </si>
  <si>
    <t>Extended Release Oral Solution</t>
  </si>
  <si>
    <t>Medicated Lip Balm</t>
  </si>
  <si>
    <t>Topical Medicated Oil</t>
  </si>
  <si>
    <t>Vaginal Ring</t>
  </si>
  <si>
    <t>Topical Paste</t>
  </si>
  <si>
    <t>Oral Delayed Release Tablets</t>
  </si>
  <si>
    <t>Oral Soft Gel Capsules</t>
  </si>
  <si>
    <t>Oral Sustained Release Granules</t>
  </si>
  <si>
    <t>Topical Eye Ointment</t>
  </si>
  <si>
    <t>Extended Release Transdermal Patch</t>
  </si>
  <si>
    <t>Medicated Skin Wipes</t>
  </si>
  <si>
    <t>Oral Sprinkle Capsules</t>
  </si>
  <si>
    <t>Oral Troches</t>
  </si>
  <si>
    <t>Oral Gum</t>
  </si>
  <si>
    <t>Medicated Lozenges</t>
  </si>
  <si>
    <t>Oral Coated Tablets</t>
  </si>
  <si>
    <t>Oral Dissolving Strips</t>
  </si>
  <si>
    <t>Extended Release Oral Granules</t>
  </si>
  <si>
    <t>Medicated Nasal Inhaler</t>
  </si>
  <si>
    <t>Topical Cooling Gel</t>
  </si>
  <si>
    <t>Medicated Face Cream</t>
  </si>
  <si>
    <t>Topical Antifungal Cream</t>
  </si>
  <si>
    <t>Medicated Eye Drops</t>
  </si>
  <si>
    <t>Medicated Ear Drops</t>
  </si>
  <si>
    <t>Topical Analgesic Cream</t>
  </si>
  <si>
    <t>Topical Anti-Itch Lotion</t>
  </si>
  <si>
    <t>Medicated Anti-Dandruff Shampoo</t>
  </si>
  <si>
    <t>Topical Antiseptic Spray</t>
  </si>
  <si>
    <t>Medicated Antibacterial Gel</t>
  </si>
  <si>
    <t>Medicated Lip Ointment</t>
  </si>
  <si>
    <t>Medicated Hand Cream</t>
  </si>
  <si>
    <t>Topical Corticosteroid Cream</t>
  </si>
  <si>
    <t>Oral Multivitamin Gummies</t>
  </si>
  <si>
    <t>Herbal Oral Tincture</t>
  </si>
  <si>
    <t>Homeopathic Oral Pellets</t>
  </si>
  <si>
    <t>Daryl Okeke</t>
  </si>
  <si>
    <t>Dummy Supplier Data</t>
  </si>
  <si>
    <t>Newly added drug</t>
  </si>
  <si>
    <t>Physical Count</t>
  </si>
  <si>
    <t>Expected Count</t>
  </si>
  <si>
    <t>Parameter</t>
  </si>
  <si>
    <t>Value</t>
  </si>
  <si>
    <t>Forecast_Lookback_Days</t>
  </si>
  <si>
    <t>Cost_Min</t>
  </si>
  <si>
    <t>Cost_Max</t>
  </si>
  <si>
    <t>Daily_Usage_Noise</t>
  </si>
  <si>
    <t>Dataset</t>
  </si>
  <si>
    <t>Urbana Clinic</t>
  </si>
  <si>
    <t>Nexocort ODT 500mg</t>
  </si>
  <si>
    <t>Azodopa Inj. 120mL</t>
  </si>
  <si>
    <t>Azomab SR Cap 250mg</t>
  </si>
  <si>
    <t>Nexodopa ODT 500mg</t>
  </si>
  <si>
    <t>Lumivast Elixir 120mL</t>
  </si>
  <si>
    <t>Nexodopa Cap 80mg</t>
  </si>
  <si>
    <t>Azovast Cap 20mg</t>
  </si>
  <si>
    <t>Nexocort Elixir 120mL</t>
  </si>
  <si>
    <t>Carbocillin XR Tab 120mL</t>
  </si>
  <si>
    <t>Azopril Gel 20mg</t>
  </si>
  <si>
    <t>Azovast Elixir 20mg</t>
  </si>
  <si>
    <t>Vitazid Elixir 250mg</t>
  </si>
  <si>
    <t>Azonex Gel 20mg</t>
  </si>
  <si>
    <t>Dexopril SR Cap 250mg</t>
  </si>
  <si>
    <t>Vitavent Inj. 80mg</t>
  </si>
  <si>
    <t>Metranex Susp. 5mg</t>
  </si>
  <si>
    <t>Azonex Tab 5mg</t>
  </si>
  <si>
    <t>Dexozole Oral Sol. 5mg</t>
  </si>
  <si>
    <t>Zylovent Oral Sol. 5mg</t>
  </si>
  <si>
    <t>Lumimab Cap 500mg</t>
  </si>
  <si>
    <t>Carbozid Susp. 250mg</t>
  </si>
  <si>
    <t>Zylozid XR Tab 20mg</t>
  </si>
  <si>
    <t>Heliodopa Elixir 10mg</t>
  </si>
  <si>
    <t>Helionex Oral Sol. 80mg</t>
  </si>
  <si>
    <t>Orbicillin SR Cap 20mg</t>
  </si>
  <si>
    <t>Chicago Center</t>
  </si>
  <si>
    <t>Heliomab Gel 500mg</t>
  </si>
  <si>
    <t>Lumicort ODT 20mg</t>
  </si>
  <si>
    <t>Vitapril SR Cap 80mg</t>
  </si>
  <si>
    <t>Carbodopa Inj. 5mg</t>
  </si>
  <si>
    <t>Azocillin Elixir 10mg</t>
  </si>
  <si>
    <t>Carbovent SR Cap 120mL</t>
  </si>
  <si>
    <t>Zylozole Gel 40mg</t>
  </si>
  <si>
    <t>Zylozid XR Tab 5mg</t>
  </si>
  <si>
    <t>Orbivast Elixir 10mg</t>
  </si>
  <si>
    <t>Metramab XR Tab 120mL</t>
  </si>
  <si>
    <t>Nexocillin Gel 250mg</t>
  </si>
  <si>
    <t>Nexozole Gel 250mg</t>
  </si>
  <si>
    <t>Heliovast Elixir 10mg</t>
  </si>
  <si>
    <t>Metravent Gel 10mg</t>
  </si>
  <si>
    <t>Azonex ODT 5mg</t>
  </si>
  <si>
    <t>Lumizole Oral Sol. 500mg</t>
  </si>
  <si>
    <t>Metradopa Susp. 250mg</t>
  </si>
  <si>
    <t>Metravast Cap 120mL</t>
  </si>
  <si>
    <t>Lumizid SR Cap 40mg</t>
  </si>
  <si>
    <t>Orbivast ODT 10mg</t>
  </si>
  <si>
    <t>Zylodopa Susp. 250mg</t>
  </si>
  <si>
    <t>Zylodopa SR Cap 10mg</t>
  </si>
  <si>
    <t>Dexozid Elixir 500mg</t>
  </si>
  <si>
    <t>Azopril ODT 40mg</t>
  </si>
  <si>
    <t>Peoria Hospital</t>
  </si>
  <si>
    <t>Zylomab Elixir 80mg</t>
  </si>
  <si>
    <t>Heliopril Inj. 5mg</t>
  </si>
  <si>
    <t>Heliomab XR Tab 5mg</t>
  </si>
  <si>
    <t>Vitavast XR Tab 5mg</t>
  </si>
  <si>
    <t>Lumivent Inj. 5mg</t>
  </si>
  <si>
    <t>Carbovent Inj. 20mg</t>
  </si>
  <si>
    <t>Zylomab Elixir 10mg</t>
  </si>
  <si>
    <t>Vitazole SR Cap 5mg</t>
  </si>
  <si>
    <t>Vitapril Susp. 500mg</t>
  </si>
  <si>
    <t>Zylozole Oral Sol. 120mL</t>
  </si>
  <si>
    <t>Heliovast Cap 5mg</t>
  </si>
  <si>
    <t>Dexodopa Inj. 120mL</t>
  </si>
  <si>
    <t>Metrazole Oral Sol. 40mg</t>
  </si>
  <si>
    <t>Vitacillin Cap 500mg</t>
  </si>
  <si>
    <t>Vitavent Elixir 40mg</t>
  </si>
  <si>
    <t>Lumicillin ODT 500mg</t>
  </si>
  <si>
    <t>Azovent Cap 20mg</t>
  </si>
  <si>
    <t>Zylocillin Gel 120mL</t>
  </si>
  <si>
    <t>Orbinex Oral Sol. 20mg</t>
  </si>
  <si>
    <t>Nexozole Inj. 10mg</t>
  </si>
  <si>
    <t>Nexozid XR Tab 40mg</t>
  </si>
  <si>
    <t>Zylopril XR Tab 120mL</t>
  </si>
  <si>
    <t>Azocillin Inj. 250mg</t>
  </si>
  <si>
    <t>Carbopril Tab 80mg</t>
  </si>
  <si>
    <t>Zylocillin ODT 120mL</t>
  </si>
  <si>
    <t>Active Dataset</t>
  </si>
  <si>
    <t>Inventory Report</t>
  </si>
  <si>
    <t>Pharmacy Inventory App - Demo</t>
  </si>
  <si>
    <t>Purpose</t>
  </si>
  <si>
    <t>How to use</t>
  </si>
  <si>
    <t>DISCLAIMER</t>
  </si>
  <si>
    <t>Credits/Contacts</t>
  </si>
  <si>
    <t>Built by:</t>
  </si>
  <si>
    <t>Email:</t>
  </si>
  <si>
    <t>Click the home button to begin!</t>
  </si>
  <si>
    <t>This is a demonstration of a larger project. It is provided for demonstration purposes only and is a much more simplified version project to avoid disclosing information personal to the pharmacy.</t>
  </si>
  <si>
    <t>Imported Supplier Data</t>
  </si>
  <si>
    <t>5) Analytics</t>
  </si>
  <si>
    <t>• Look at KPIs based on synthesized monthly data</t>
  </si>
  <si>
    <t>Pharmacy Inventory App Demo - HomePage</t>
  </si>
  <si>
    <t>Daily Inventory Log Simulator</t>
  </si>
  <si>
    <t>Current Stock</t>
  </si>
  <si>
    <t>Expected Stock</t>
  </si>
  <si>
    <t>Azovent Tab 10mg</t>
  </si>
  <si>
    <t>Carboprill XR 20mg</t>
  </si>
  <si>
    <t>Dexomab Inj.</t>
  </si>
  <si>
    <t>Lumizole Cap 500mg</t>
  </si>
  <si>
    <t>Zylozid Oral Sol.</t>
  </si>
  <si>
    <t>MetraGel 5%</t>
  </si>
  <si>
    <t>Vitanex ODT 5mg</t>
  </si>
  <si>
    <t>Nexvast Tab 40mg</t>
  </si>
  <si>
    <t>Heliocillin Susp.</t>
  </si>
  <si>
    <t>Orbivast SR 10mg</t>
  </si>
  <si>
    <t>Ventacort Tab 5mg</t>
  </si>
  <si>
    <t>Cortanex Cap 250mg</t>
  </si>
  <si>
    <t>Prilizole Tab 20mg</t>
  </si>
  <si>
    <t>Zidomab Inj.</t>
  </si>
  <si>
    <t>Dopazole Elixir</t>
  </si>
  <si>
    <t>Date</t>
  </si>
  <si>
    <t>QtyDispensed</t>
  </si>
  <si>
    <t>UnitCost</t>
  </si>
  <si>
    <t>TotalCost</t>
  </si>
  <si>
    <t>Inventory Analytics (Sample) — last 30 days</t>
  </si>
  <si>
    <t>Dispensed (30d)</t>
  </si>
  <si>
    <t>Avg Daily Dispense</t>
  </si>
  <si>
    <t>Avg Unit Cost</t>
  </si>
  <si>
    <t>Spend (30d)</t>
  </si>
  <si>
    <t>Turnover (30d)</t>
  </si>
  <si>
    <t>Days Until Stockout</t>
  </si>
  <si>
    <t>Note</t>
  </si>
  <si>
    <t>Expiry Date</t>
  </si>
  <si>
    <t>LeadTimeDays</t>
  </si>
  <si>
    <t>SafetyStock</t>
  </si>
  <si>
    <t>ABC Class</t>
  </si>
  <si>
    <t>Reorder Point</t>
  </si>
  <si>
    <t>Order Now</t>
  </si>
  <si>
    <t>Days to Expiry</t>
  </si>
  <si>
    <t>ORDER NOW</t>
  </si>
  <si>
    <t>B</t>
  </si>
  <si>
    <t>C</t>
  </si>
  <si>
    <t>A</t>
  </si>
  <si>
    <t>2. Log some imaginary inventory counts.</t>
  </si>
  <si>
    <t>For this demo to work properly, please follow the order of instructions given!</t>
  </si>
  <si>
    <t>Github Repo:</t>
  </si>
  <si>
    <t>Return Home after each step</t>
  </si>
  <si>
    <t>Scroll down for Step 4</t>
  </si>
  <si>
    <t>1. START HERE! Import a dataset</t>
  </si>
  <si>
    <t>3. Generate your inventory report</t>
  </si>
  <si>
    <t>4. Create 30 days of synthesized pharmacy inventory data, then compute KPIs based on that data</t>
  </si>
  <si>
    <t xml:space="preserve">30-Day Sample Analytics </t>
  </si>
  <si>
    <r>
      <t xml:space="preserve">This is a demo of  an independent project that was initially created for a clinical pharmacy. This version was created to demonstrate its functionality to the public without revealing any private pharmacy operational data.                                                                                                                       </t>
    </r>
    <r>
      <rPr>
        <b/>
        <sz val="11"/>
        <rFont val="Calibri"/>
        <family val="2"/>
      </rPr>
      <t>This workbook demonstrates a compact pharmacy inventory workflow :</t>
    </r>
    <r>
      <rPr>
        <sz val="11"/>
        <rFont val="Calibri"/>
        <family val="2"/>
      </rPr>
      <t xml:space="preserve">
• Import expected stock from preset datasets or files (SupplierData).
• Log physical counts using an input form per dataset.
• Generate a clear variance report (shortage / surplus) for review or export.</t>
    </r>
  </si>
  <si>
    <r>
      <rPr>
        <b/>
        <sz val="11"/>
        <rFont val="Calibri"/>
        <family val="2"/>
      </rPr>
      <t>1) Import Weekly Data</t>
    </r>
    <r>
      <rPr>
        <sz val="11"/>
        <rFont val="Calibri"/>
        <family val="2"/>
      </rPr>
      <t xml:space="preserve">
   • Click “Import Supplier Data”. Choose a preset dataset.
   • The Supplier Data table is then populated with the dataset data(Drug Name, Drug ID, Expected Quantity).
</t>
    </r>
    <r>
      <rPr>
        <b/>
        <sz val="11"/>
        <rFont val="Calibri"/>
        <family val="2"/>
      </rPr>
      <t>2) Input Physical Inventory</t>
    </r>
    <r>
      <rPr>
        <sz val="11"/>
        <rFont val="Calibri"/>
        <family val="2"/>
      </rPr>
      <t xml:space="preserve">
   • Click “Log Inventory”. Enter fake drug counts for each row and click “Log”.
   • Counts are logged in memory.
</t>
    </r>
    <r>
      <rPr>
        <b/>
        <sz val="11"/>
        <rFont val="Calibri"/>
        <family val="2"/>
      </rPr>
      <t>3) Generate Report</t>
    </r>
    <r>
      <rPr>
        <sz val="11"/>
        <rFont val="Calibri"/>
        <family val="2"/>
      </rPr>
      <t xml:space="preserve">
   • Click “Generate Report”. The report only includes drugs that have been logged in the inventory sheet.
   • Status highlights surplus/shortage based on the inventory counts you input vs. the expected counts from the supplier data. This Report can then be exported.
</t>
    </r>
    <r>
      <rPr>
        <b/>
        <sz val="11"/>
        <rFont val="Calibri"/>
        <family val="2"/>
      </rPr>
      <t>4) Navigation</t>
    </r>
    <r>
      <rPr>
        <sz val="11"/>
        <rFont val="Calibri"/>
        <family val="2"/>
      </rPr>
      <t xml:space="preserve">
   • Use “Home” to return to the main menu at any time.</t>
    </r>
  </si>
  <si>
    <t xml:space="preserve">  • After the sample data is generated, click Build Sample Analytics to create KPIs based on your synthesized 30-day log.</t>
  </si>
  <si>
    <t xml:space="preserve">  • Click Generate Sample Data to create a synthetic 30-day inventory log.</t>
  </si>
  <si>
    <t>All drug names,  quantities, and related values in the demo are entirely fictitious.</t>
  </si>
  <si>
    <t>shortage of 54</t>
  </si>
  <si>
    <t>surplus of 118</t>
  </si>
  <si>
    <t>shortage of 15</t>
  </si>
  <si>
    <t>surplus of 108</t>
  </si>
  <si>
    <t>surplus of 119</t>
  </si>
  <si>
    <t>shortage of 74</t>
  </si>
  <si>
    <t>surplus of 68</t>
  </si>
  <si>
    <t>surplus of 270</t>
  </si>
  <si>
    <t>shortage of 16</t>
  </si>
  <si>
    <t>surplus of 237</t>
  </si>
  <si>
    <t>surplus of 240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</si>
</sst>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:mmAM/PM\ m/d"/>
    <numFmt numFmtId="165" formatCode="&quot;$&quot;#,##0.00"/>
    <numFmt numFmtId="166" formatCode="0.0"/>
  </numFmts>
  <fonts count="38" x14ac:knownFonts="1">
    <font>
      <sz val="11"/>
      <color rgb="FF000000"/>
      <name val="Calibri"/>
      <family val="2"/>
      <scheme val="minor"/>
    </font>
    <font>
      <sz val="11"/>
      <name val="Calibri"/>
      <family val="2"/>
    </font>
    <font>
      <b/>
      <sz val="22"/>
      <color rgb="FF000000"/>
      <name val="Segoe UI"/>
      <family val="2"/>
    </font>
    <font>
      <b/>
      <sz val="8"/>
      <color rgb="FF000000"/>
      <name val="Segoe UI"/>
      <family val="2"/>
    </font>
    <font>
      <b/>
      <sz val="10"/>
      <color rgb="FF000000"/>
      <name val="Segoe UI"/>
      <family val="2"/>
    </font>
    <font>
      <sz val="8"/>
      <color rgb="FF000000"/>
      <name val="Segoe UI"/>
      <family val="2"/>
    </font>
    <font>
      <b/>
      <sz val="11"/>
      <name val="Calibri"/>
      <family val="2"/>
    </font>
    <font>
      <sz val="10"/>
      <color rgb="FF000000"/>
      <name val="Segoe UI"/>
      <family val="2"/>
    </font>
    <font>
      <sz val="8"/>
      <name val="Segoe UI"/>
      <family val="2"/>
    </font>
    <font>
      <sz val="11"/>
      <color theme="1"/>
      <name val="Calibri"/>
      <family val="2"/>
    </font>
    <font>
      <b/>
      <sz val="11"/>
      <color theme="0"/>
      <name val="Calibri"/>
      <family val="2"/>
    </font>
    <font>
      <sz val="10"/>
      <color theme="1"/>
      <name val="Segoe UI"/>
      <family val="2"/>
    </font>
    <font>
      <sz val="20"/>
      <color rgb="FFFF0000"/>
      <name val="Calibri"/>
      <family val="2"/>
    </font>
    <font>
      <b/>
      <sz val="24"/>
      <name val="Calibri"/>
      <family val="2"/>
    </font>
    <font>
      <b/>
      <sz val="36"/>
      <name val="Calibri"/>
      <family val="2"/>
    </font>
    <font>
      <b/>
      <sz val="8"/>
      <color rgb="FFC00000"/>
      <name val="Segoe UI"/>
      <family val="2"/>
    </font>
    <font>
      <sz val="8"/>
      <name val="Calibri"/>
      <family val="2"/>
      <scheme val="minor"/>
    </font>
    <font>
      <sz val="12"/>
      <name val="Calibri"/>
      <family val="2"/>
    </font>
    <font>
      <b/>
      <sz val="48"/>
      <name val="Calibri"/>
      <family val="2"/>
    </font>
    <font>
      <b/>
      <sz val="20"/>
      <name val="Calibri"/>
      <family val="2"/>
    </font>
    <font>
      <b/>
      <sz val="11"/>
      <name val="Gabriola"/>
      <family val="5"/>
    </font>
    <font>
      <b/>
      <sz val="14"/>
      <name val="Gabriola"/>
      <family val="5"/>
    </font>
    <font>
      <b/>
      <sz val="14"/>
      <name val="Calibri"/>
      <family val="2"/>
    </font>
    <font>
      <b/>
      <sz val="14"/>
      <color theme="6" tint="-0.249977111117893"/>
      <name val="Calibri"/>
      <family val="2"/>
    </font>
    <font>
      <b/>
      <sz val="18"/>
      <color theme="6" tint="-0.249977111117893"/>
      <name val="Calibri"/>
      <family val="2"/>
    </font>
    <font>
      <b/>
      <u/>
      <sz val="14"/>
      <name val="Gabriola"/>
      <family val="5"/>
    </font>
    <font>
      <u/>
      <sz val="11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6" tint="-0.249977111117893"/>
      <name val="Calibri"/>
      <family val="2"/>
    </font>
    <font>
      <b/>
      <sz val="24"/>
      <color theme="6" tint="-0.249977111117893"/>
      <name val="Calibri"/>
      <family val="2"/>
    </font>
    <font>
      <b/>
      <sz val="11.5"/>
      <color rgb="FF000000"/>
      <name val="Calibri"/>
      <family val="2"/>
      <scheme val="minor"/>
    </font>
    <font>
      <sz val="20"/>
      <color rgb="FF005E00"/>
      <name val="Calibri"/>
      <family val="2"/>
    </font>
    <font>
      <b/>
      <sz val="20"/>
      <color rgb="FF005E00"/>
      <name val="Calibri"/>
      <family val="2"/>
    </font>
    <font>
      <b/>
      <sz val="18"/>
      <name val="Calibri"/>
      <family val="2"/>
    </font>
    <font>
      <sz val="18"/>
      <color rgb="FFFF0000"/>
      <name val="Calibri"/>
      <family val="2"/>
    </font>
    <font>
      <u/>
      <sz val="18"/>
      <color rgb="FFFF0000"/>
      <name val="Calibri"/>
      <family val="2"/>
    </font>
    <font>
      <sz val="20"/>
      <color rgb="FF60A500"/>
      <name val="Calibri"/>
      <family val="2"/>
    </font>
    <font>
      <u/>
      <sz val="18"/>
      <color rgb="FF60A5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rgb="FFE0F8F8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EBF8EE"/>
        <bgColor indexed="64"/>
      </patternFill>
    </fill>
    <fill>
      <patternFill patternType="solid">
        <fgColor rgb="FFDDEBDD"/>
        <bgColor indexed="64"/>
      </patternFill>
    </fill>
  </fills>
  <borders count="22">
    <border>
      <left/>
      <right/>
      <top/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theme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theme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</borders>
  <cellStyleXfs count="2">
    <xf numFmtId="0" fontId="0" fillId="0" borderId="0"/>
    <xf numFmtId="0" fontId="27" fillId="0" borderId="0" applyNumberFormat="0" applyFill="0" applyBorder="0" applyAlignment="0" applyProtection="0"/>
  </cellStyleXfs>
  <cellXfs count="123">
    <xf numFmtId="0" fontId="1" fillId="0" borderId="0" xfId="0" applyFont="1"/>
    <xf numFmtId="0" fontId="2" fillId="0" borderId="0" xfId="0" applyFont="1" applyAlignment="1">
      <alignment horizontal="centerContinuous" vertical="top" wrapText="1" readingOrder="1"/>
    </xf>
    <xf numFmtId="0" fontId="2" fillId="0" borderId="0" xfId="0" applyFont="1" applyAlignment="1">
      <alignment horizontal="center" vertical="top" wrapText="1" readingOrder="1"/>
    </xf>
    <xf numFmtId="0" fontId="1" fillId="0" borderId="3" xfId="0" applyFont="1" applyBorder="1" applyAlignment="1">
      <alignment horizontal="center" vertical="top"/>
    </xf>
    <xf numFmtId="0" fontId="2" fillId="0" borderId="3" xfId="0" applyFont="1" applyBorder="1" applyAlignment="1">
      <alignment horizontal="center" vertical="top" wrapText="1" readingOrder="1"/>
    </xf>
    <xf numFmtId="0" fontId="1" fillId="0" borderId="0" xfId="0" applyFont="1" applyAlignment="1">
      <alignment horizontal="center" vertical="top"/>
    </xf>
    <xf numFmtId="0" fontId="5" fillId="0" borderId="1" xfId="0" applyFont="1" applyBorder="1" applyAlignment="1">
      <alignment horizontal="center" vertical="top" wrapText="1" readingOrder="1"/>
    </xf>
    <xf numFmtId="0" fontId="3" fillId="0" borderId="0" xfId="0" applyFont="1" applyAlignment="1">
      <alignment horizontal="right" vertical="top" wrapText="1" readingOrder="1"/>
    </xf>
    <xf numFmtId="0" fontId="13" fillId="0" borderId="0" xfId="0" applyFont="1" applyAlignment="1">
      <alignment horizontal="center" vertical="top"/>
    </xf>
    <xf numFmtId="22" fontId="3" fillId="0" borderId="0" xfId="0" applyNumberFormat="1" applyFont="1" applyAlignment="1">
      <alignment vertical="top" wrapText="1" readingOrder="1"/>
    </xf>
    <xf numFmtId="0" fontId="3" fillId="0" borderId="0" xfId="0" applyFont="1" applyAlignment="1">
      <alignment vertical="top" wrapText="1" readingOrder="1"/>
    </xf>
    <xf numFmtId="0" fontId="3" fillId="0" borderId="0" xfId="0" applyFont="1" applyAlignment="1">
      <alignment horizontal="center" vertical="top" wrapText="1" readingOrder="1"/>
    </xf>
    <xf numFmtId="0" fontId="5" fillId="0" borderId="0" xfId="0" applyFont="1" applyAlignment="1">
      <alignment vertical="top" wrapText="1" readingOrder="1"/>
    </xf>
    <xf numFmtId="0" fontId="5" fillId="0" borderId="0" xfId="0" applyFont="1" applyAlignment="1">
      <alignment horizontal="center" vertical="top" wrapText="1" readingOrder="1"/>
    </xf>
    <xf numFmtId="0" fontId="5" fillId="0" borderId="0" xfId="0" applyFont="1" applyAlignment="1" applyProtection="1">
      <alignment horizontal="center" vertical="top" wrapText="1" readingOrder="1"/>
      <protection locked="0"/>
    </xf>
    <xf numFmtId="0" fontId="8" fillId="0" borderId="0" xfId="0" applyFont="1" applyAlignment="1">
      <alignment horizontal="center" vertical="top"/>
    </xf>
    <xf numFmtId="0" fontId="7" fillId="2" borderId="0" xfId="0" applyFont="1" applyFill="1" applyAlignment="1">
      <alignment vertical="top" wrapText="1" readingOrder="1"/>
    </xf>
    <xf numFmtId="0" fontId="1" fillId="0" borderId="0" xfId="0" applyFont="1" applyAlignment="1">
      <alignment horizontal="centerContinuous" vertical="top"/>
    </xf>
    <xf numFmtId="0" fontId="14" fillId="0" borderId="0" xfId="0" applyFont="1"/>
    <xf numFmtId="0" fontId="9" fillId="0" borderId="0" xfId="0" applyFont="1" applyAlignment="1">
      <alignment horizontal="center"/>
    </xf>
    <xf numFmtId="0" fontId="9" fillId="0" borderId="0" xfId="0" applyFont="1" applyAlignment="1">
      <alignment horizontal="center" vertical="center"/>
    </xf>
    <xf numFmtId="0" fontId="9" fillId="3" borderId="0" xfId="0" applyFont="1" applyFill="1" applyAlignment="1">
      <alignment horizontal="center"/>
    </xf>
    <xf numFmtId="0" fontId="9" fillId="4" borderId="4" xfId="0" applyFont="1" applyFill="1" applyBorder="1" applyAlignment="1">
      <alignment horizontal="center"/>
    </xf>
    <xf numFmtId="0" fontId="9" fillId="4" borderId="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/>
    </xf>
    <xf numFmtId="22" fontId="1" fillId="4" borderId="6" xfId="0" applyNumberFormat="1" applyFont="1" applyFill="1" applyBorder="1" applyAlignment="1">
      <alignment horizontal="center"/>
    </xf>
    <xf numFmtId="0" fontId="9" fillId="3" borderId="0" xfId="0" applyFont="1" applyFill="1" applyAlignment="1">
      <alignment horizontal="center" vertical="center"/>
    </xf>
    <xf numFmtId="0" fontId="6" fillId="3" borderId="5" xfId="0" applyFont="1" applyFill="1" applyBorder="1" applyAlignment="1">
      <alignment horizontal="center"/>
    </xf>
    <xf numFmtId="22" fontId="1" fillId="3" borderId="7" xfId="0" applyNumberFormat="1" applyFont="1" applyFill="1" applyBorder="1" applyAlignment="1">
      <alignment horizontal="center"/>
    </xf>
    <xf numFmtId="0" fontId="9" fillId="4" borderId="0" xfId="0" applyFont="1" applyFill="1" applyAlignment="1">
      <alignment horizontal="center"/>
    </xf>
    <xf numFmtId="0" fontId="9" fillId="4" borderId="0" xfId="0" applyFont="1" applyFill="1" applyAlignment="1">
      <alignment horizontal="center" vertical="center"/>
    </xf>
    <xf numFmtId="22" fontId="1" fillId="4" borderId="7" xfId="0" applyNumberFormat="1" applyFont="1" applyFill="1" applyBorder="1" applyAlignment="1">
      <alignment horizontal="center"/>
    </xf>
    <xf numFmtId="22" fontId="11" fillId="3" borderId="7" xfId="0" applyNumberFormat="1" applyFont="1" applyFill="1" applyBorder="1" applyAlignment="1">
      <alignment horizontal="center" vertical="center" readingOrder="1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center" vertical="center"/>
    </xf>
    <xf numFmtId="0" fontId="6" fillId="0" borderId="0" xfId="0" applyFont="1"/>
    <xf numFmtId="164" fontId="1" fillId="4" borderId="7" xfId="0" applyNumberFormat="1" applyFont="1" applyFill="1" applyBorder="1" applyAlignment="1">
      <alignment horizontal="center"/>
    </xf>
    <xf numFmtId="164" fontId="1" fillId="3" borderId="7" xfId="0" applyNumberFormat="1" applyFont="1" applyFill="1" applyBorder="1" applyAlignment="1">
      <alignment horizontal="center"/>
    </xf>
    <xf numFmtId="22" fontId="1" fillId="0" borderId="0" xfId="0" applyNumberFormat="1" applyFont="1"/>
    <xf numFmtId="0" fontId="1" fillId="5" borderId="0" xfId="0" applyFont="1" applyFill="1"/>
    <xf numFmtId="0" fontId="20" fillId="0" borderId="0" xfId="0" applyFont="1"/>
    <xf numFmtId="0" fontId="21" fillId="0" borderId="0" xfId="0" applyFont="1"/>
    <xf numFmtId="0" fontId="28" fillId="0" borderId="0" xfId="0" applyFont="1" applyAlignment="1">
      <alignment horizontal="center" vertical="top"/>
    </xf>
    <xf numFmtId="0" fontId="29" fillId="0" borderId="0" xfId="0" applyFont="1" applyAlignment="1">
      <alignment horizontal="centerContinuous" vertical="top"/>
    </xf>
    <xf numFmtId="0" fontId="31" fillId="0" borderId="0" xfId="0" applyFont="1"/>
    <xf numFmtId="0" fontId="4" fillId="0" borderId="2" xfId="0" applyFont="1" applyBorder="1" applyAlignment="1" applyProtection="1">
      <alignment horizontal="center" vertical="top" wrapText="1" readingOrder="1"/>
      <protection locked="0" hidden="1"/>
    </xf>
    <xf numFmtId="0" fontId="5" fillId="2" borderId="0" xfId="0" applyFont="1" applyFill="1" applyAlignment="1" applyProtection="1">
      <alignment horizontal="center" vertical="top" wrapText="1" readingOrder="1"/>
      <protection locked="0" hidden="1"/>
    </xf>
    <xf numFmtId="0" fontId="5" fillId="0" borderId="0" xfId="0" applyFont="1" applyAlignment="1" applyProtection="1">
      <alignment horizontal="center" vertical="top" wrapText="1" readingOrder="1"/>
      <protection locked="0" hidden="1"/>
    </xf>
    <xf numFmtId="0" fontId="6" fillId="6" borderId="0" xfId="0" applyFont="1" applyFill="1"/>
    <xf numFmtId="0" fontId="1" fillId="8" borderId="0" xfId="0" applyFont="1" applyFill="1"/>
    <xf numFmtId="14" fontId="1" fillId="8" borderId="0" xfId="0" applyNumberFormat="1" applyFont="1" applyFill="1"/>
    <xf numFmtId="0" fontId="1" fillId="9" borderId="0" xfId="0" applyFont="1" applyFill="1"/>
    <xf numFmtId="14" fontId="1" fillId="9" borderId="0" xfId="0" applyNumberFormat="1" applyFont="1" applyFill="1"/>
    <xf numFmtId="165" fontId="1" fillId="8" borderId="0" xfId="0" applyNumberFormat="1" applyFont="1" applyFill="1"/>
    <xf numFmtId="165" fontId="1" fillId="9" borderId="0" xfId="0" applyNumberFormat="1" applyFont="1" applyFill="1"/>
    <xf numFmtId="1" fontId="1" fillId="8" borderId="0" xfId="0" applyNumberFormat="1" applyFont="1" applyFill="1"/>
    <xf numFmtId="1" fontId="1" fillId="9" borderId="0" xfId="0" applyNumberFormat="1" applyFont="1" applyFill="1"/>
    <xf numFmtId="2" fontId="1" fillId="8" borderId="0" xfId="0" applyNumberFormat="1" applyFont="1" applyFill="1"/>
    <xf numFmtId="2" fontId="1" fillId="9" borderId="0" xfId="0" applyNumberFormat="1" applyFont="1" applyFill="1"/>
    <xf numFmtId="166" fontId="1" fillId="8" borderId="0" xfId="0" applyNumberFormat="1" applyFont="1" applyFill="1"/>
    <xf numFmtId="166" fontId="1" fillId="9" borderId="0" xfId="0" applyNumberFormat="1" applyFont="1" applyFill="1"/>
    <xf numFmtId="0" fontId="34" fillId="0" borderId="0" xfId="0" applyFont="1"/>
    <xf numFmtId="0" fontId="34" fillId="0" borderId="0" xfId="0" applyFont="1" applyAlignment="1">
      <alignment wrapText="1"/>
    </xf>
    <xf numFmtId="0" fontId="35" fillId="0" borderId="0" xfId="0" applyFont="1"/>
    <xf numFmtId="0" fontId="36" fillId="0" borderId="0" xfId="0" applyFont="1"/>
    <xf numFmtId="0" fontId="37" fillId="0" borderId="0" xfId="0" applyFont="1"/>
    <xf numFmtId="0" fontId="1" fillId="0" borderId="0" xfId="0" applyFont="1" applyProtection="1">
      <protection hidden="1"/>
    </xf>
    <xf numFmtId="0" fontId="18" fillId="5" borderId="0" xfId="0" applyFont="1" applyFill="1" applyAlignment="1" applyProtection="1">
      <alignment horizontal="centerContinuous"/>
      <protection hidden="1"/>
    </xf>
    <xf numFmtId="0" fontId="1" fillId="5" borderId="0" xfId="0" applyFont="1" applyFill="1" applyAlignment="1" applyProtection="1">
      <alignment horizontal="centerContinuous"/>
      <protection hidden="1"/>
    </xf>
    <xf numFmtId="0" fontId="1" fillId="5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25" fillId="0" borderId="0" xfId="0" applyFont="1" applyProtection="1">
      <protection hidden="1"/>
    </xf>
    <xf numFmtId="0" fontId="26" fillId="0" borderId="0" xfId="0" applyFont="1" applyProtection="1">
      <protection hidden="1"/>
    </xf>
    <xf numFmtId="0" fontId="6" fillId="0" borderId="0" xfId="0" applyFont="1" applyProtection="1">
      <protection hidden="1"/>
    </xf>
    <xf numFmtId="0" fontId="1" fillId="0" borderId="3" xfId="0" applyFont="1" applyBorder="1" applyProtection="1">
      <protection hidden="1"/>
    </xf>
    <xf numFmtId="0" fontId="1" fillId="0" borderId="17" xfId="0" applyFont="1" applyBorder="1" applyProtection="1">
      <protection hidden="1"/>
    </xf>
    <xf numFmtId="0" fontId="1" fillId="0" borderId="16" xfId="0" applyFont="1" applyBorder="1" applyProtection="1">
      <protection hidden="1"/>
    </xf>
    <xf numFmtId="0" fontId="6" fillId="0" borderId="17" xfId="0" applyFont="1" applyBorder="1" applyProtection="1">
      <protection hidden="1"/>
    </xf>
    <xf numFmtId="0" fontId="17" fillId="0" borderId="0" xfId="0" applyFont="1" applyProtection="1">
      <protection hidden="1"/>
    </xf>
    <xf numFmtId="0" fontId="1" fillId="0" borderId="18" xfId="0" applyFont="1" applyBorder="1" applyProtection="1">
      <protection hidden="1"/>
    </xf>
    <xf numFmtId="0" fontId="1" fillId="0" borderId="11" xfId="0" applyFont="1" applyBorder="1" applyProtection="1">
      <protection hidden="1"/>
    </xf>
    <xf numFmtId="0" fontId="1" fillId="0" borderId="19" xfId="0" applyFont="1" applyBorder="1" applyProtection="1">
      <protection hidden="1"/>
    </xf>
    <xf numFmtId="0" fontId="30" fillId="0" borderId="13" xfId="0" applyFont="1" applyBorder="1" applyProtection="1">
      <protection hidden="1"/>
    </xf>
    <xf numFmtId="0" fontId="17" fillId="0" borderId="12" xfId="0" applyFont="1" applyBorder="1" applyProtection="1">
      <protection hidden="1"/>
    </xf>
    <xf numFmtId="0" fontId="17" fillId="0" borderId="14" xfId="0" applyFont="1" applyBorder="1" applyProtection="1">
      <protection hidden="1"/>
    </xf>
    <xf numFmtId="0" fontId="30" fillId="0" borderId="15" xfId="0" applyFont="1" applyBorder="1" applyProtection="1">
      <protection hidden="1"/>
    </xf>
    <xf numFmtId="0" fontId="17" fillId="0" borderId="16" xfId="0" applyFont="1" applyBorder="1" applyProtection="1">
      <protection hidden="1"/>
    </xf>
    <xf numFmtId="0" fontId="30" fillId="0" borderId="18" xfId="0" applyFont="1" applyBorder="1" applyProtection="1">
      <protection hidden="1"/>
    </xf>
    <xf numFmtId="0" fontId="17" fillId="0" borderId="11" xfId="0" applyFont="1" applyBorder="1" applyProtection="1">
      <protection hidden="1"/>
    </xf>
    <xf numFmtId="0" fontId="17" fillId="0" borderId="19" xfId="0" applyFont="1" applyBorder="1" applyProtection="1">
      <protection hidden="1"/>
    </xf>
    <xf numFmtId="0" fontId="12" fillId="0" borderId="20" xfId="0" applyFont="1" applyBorder="1" applyAlignment="1" applyProtection="1">
      <alignment horizontal="center"/>
      <protection hidden="1"/>
    </xf>
    <xf numFmtId="0" fontId="1" fillId="0" borderId="11" xfId="0" applyFont="1" applyBorder="1" applyAlignment="1" applyProtection="1">
      <alignment horizontal="center"/>
      <protection hidden="1"/>
    </xf>
    <xf numFmtId="0" fontId="24" fillId="0" borderId="11" xfId="0" applyFont="1" applyBorder="1" applyAlignment="1" applyProtection="1">
      <alignment horizontal="center"/>
      <protection hidden="1"/>
    </xf>
    <xf numFmtId="0" fontId="22" fillId="0" borderId="0" xfId="0" applyFont="1" applyAlignment="1" applyProtection="1">
      <alignment horizontal="center"/>
      <protection hidden="1"/>
    </xf>
    <xf numFmtId="0" fontId="1" fillId="0" borderId="21" xfId="0" applyFont="1" applyBorder="1" applyAlignment="1" applyProtection="1">
      <alignment horizontal="left" wrapText="1"/>
      <protection hidden="1"/>
    </xf>
    <xf numFmtId="0" fontId="1" fillId="0" borderId="12" xfId="0" applyFont="1" applyBorder="1" applyAlignment="1" applyProtection="1">
      <alignment horizontal="left" wrapText="1"/>
      <protection hidden="1"/>
    </xf>
    <xf numFmtId="0" fontId="1" fillId="0" borderId="14" xfId="0" applyFont="1" applyBorder="1" applyAlignment="1" applyProtection="1">
      <alignment horizontal="left" wrapText="1"/>
      <protection hidden="1"/>
    </xf>
    <xf numFmtId="0" fontId="1" fillId="0" borderId="17" xfId="0" applyFont="1" applyBorder="1" applyAlignment="1" applyProtection="1">
      <alignment horizontal="left" wrapText="1"/>
      <protection hidden="1"/>
    </xf>
    <xf numFmtId="0" fontId="1" fillId="0" borderId="0" xfId="0" applyFont="1" applyAlignment="1" applyProtection="1">
      <alignment horizontal="left" wrapText="1"/>
      <protection hidden="1"/>
    </xf>
    <xf numFmtId="0" fontId="1" fillId="0" borderId="16" xfId="0" applyFont="1" applyBorder="1" applyAlignment="1" applyProtection="1">
      <alignment horizontal="left" wrapText="1"/>
      <protection hidden="1"/>
    </xf>
    <xf numFmtId="0" fontId="1" fillId="0" borderId="21" xfId="0" applyFont="1" applyBorder="1" applyAlignment="1" applyProtection="1">
      <alignment horizontal="left" vertical="top" wrapText="1"/>
      <protection hidden="1"/>
    </xf>
    <xf numFmtId="0" fontId="1" fillId="0" borderId="12" xfId="0" applyFont="1" applyBorder="1" applyAlignment="1" applyProtection="1">
      <alignment horizontal="left" vertical="top" wrapText="1"/>
      <protection hidden="1"/>
    </xf>
    <xf numFmtId="0" fontId="1" fillId="0" borderId="14" xfId="0" applyFont="1" applyBorder="1" applyAlignment="1" applyProtection="1">
      <alignment horizontal="left" vertical="top" wrapText="1"/>
      <protection hidden="1"/>
    </xf>
    <xf numFmtId="0" fontId="1" fillId="0" borderId="17" xfId="0" applyFont="1" applyBorder="1" applyAlignment="1" applyProtection="1">
      <alignment horizontal="left" vertical="top" wrapText="1"/>
      <protection hidden="1"/>
    </xf>
    <xf numFmtId="0" fontId="1" fillId="0" borderId="0" xfId="0" applyFont="1" applyAlignment="1" applyProtection="1">
      <alignment horizontal="left" vertical="top" wrapText="1"/>
      <protection hidden="1"/>
    </xf>
    <xf numFmtId="0" fontId="1" fillId="0" borderId="16" xfId="0" applyFont="1" applyBorder="1" applyAlignment="1" applyProtection="1">
      <alignment horizontal="left" vertical="top" wrapText="1"/>
      <protection hidden="1"/>
    </xf>
    <xf numFmtId="0" fontId="24" fillId="0" borderId="17" xfId="0" applyFont="1" applyBorder="1" applyAlignment="1" applyProtection="1">
      <alignment horizontal="center"/>
      <protection hidden="1"/>
    </xf>
    <xf numFmtId="0" fontId="24" fillId="0" borderId="0" xfId="0" applyFont="1" applyAlignment="1" applyProtection="1">
      <alignment horizontal="center"/>
      <protection hidden="1"/>
    </xf>
    <xf numFmtId="0" fontId="24" fillId="0" borderId="16" xfId="0" applyFont="1" applyBorder="1" applyAlignment="1" applyProtection="1">
      <alignment horizontal="center"/>
      <protection hidden="1"/>
    </xf>
    <xf numFmtId="0" fontId="27" fillId="0" borderId="2" xfId="1" applyBorder="1" applyAlignment="1" applyProtection="1">
      <alignment horizontal="center"/>
      <protection hidden="1"/>
    </xf>
    <xf numFmtId="0" fontId="27" fillId="0" borderId="0" xfId="1" applyAlignment="1" applyProtection="1">
      <alignment horizontal="center"/>
      <protection hidden="1"/>
    </xf>
    <xf numFmtId="0" fontId="23" fillId="0" borderId="8" xfId="0" applyFont="1" applyBorder="1" applyAlignment="1">
      <alignment horizontal="center" vertical="center" wrapText="1"/>
    </xf>
    <xf numFmtId="0" fontId="23" fillId="0" borderId="9" xfId="0" applyFont="1" applyBorder="1" applyAlignment="1">
      <alignment horizontal="center" vertical="center" wrapText="1"/>
    </xf>
    <xf numFmtId="0" fontId="23" fillId="0" borderId="10" xfId="0" applyFont="1" applyBorder="1" applyAlignment="1">
      <alignment horizontal="center" vertical="center" wrapText="1"/>
    </xf>
    <xf numFmtId="0" fontId="18" fillId="5" borderId="0" xfId="0" applyFont="1" applyFill="1" applyAlignment="1">
      <alignment horizontal="center" vertical="center"/>
    </xf>
    <xf numFmtId="0" fontId="32" fillId="0" borderId="11" xfId="0" applyFont="1" applyBorder="1" applyAlignment="1">
      <alignment horizontal="center"/>
    </xf>
    <xf numFmtId="0" fontId="3" fillId="0" borderId="0" xfId="0" applyFont="1" applyAlignment="1">
      <alignment horizontal="right" vertical="top" wrapText="1" readingOrder="1"/>
    </xf>
    <xf numFmtId="0" fontId="15" fillId="0" borderId="0" xfId="0" applyFont="1" applyAlignment="1" applyProtection="1">
      <alignment horizontal="center" vertical="top" wrapText="1" readingOrder="1"/>
      <protection locked="0"/>
    </xf>
    <xf numFmtId="0" fontId="19" fillId="0" borderId="0" xfId="0" applyFont="1" applyAlignment="1">
      <alignment horizontal="center" vertical="center"/>
    </xf>
    <xf numFmtId="0" fontId="33" fillId="7" borderId="0" xfId="0" applyFont="1" applyFill="1" applyAlignment="1">
      <alignment horizontal="center" vertical="center"/>
    </xf>
    <xf numFmtId="0" fontId="1" fillId="0" borderId="0" xfId="0" applyFont="1" applyFill="1"/>
    <xf numFmtId="166" fontId="1" fillId="0" borderId="0" xfId="0" applyNumberFormat="1" applyFont="1" applyFill="1"/>
    <xf numFmtId="1" fontId="1" fillId="0" borderId="0" xfId="0" applyNumberFormat="1" applyFont="1" applyFill="1"/>
  </cellXfs>
  <cellStyles count="2">
    <cellStyle name="Hyperlink" xfId="1" builtinId="8"/>
    <cellStyle name="Normal" xfId="0" builtinId="0"/>
  </cellStyles>
  <dxfs count="100">
    <dxf>
      <fill>
        <patternFill>
          <bgColor rgb="FFFFC7CE"/>
        </patternFill>
      </fill>
    </dxf>
    <dxf>
      <fill>
        <patternFill>
          <bgColor rgb="FFC6EF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C6EFCE"/>
        </patternFill>
      </fill>
    </dxf>
    <dxf>
      <fill>
        <patternFill>
          <bgColor rgb="FFFFF2CC"/>
        </patternFill>
      </fill>
    </dxf>
    <dxf>
      <fill>
        <patternFill>
          <bgColor rgb="FFFFEB9C"/>
        </patternFill>
      </fill>
    </dxf>
    <dxf>
      <numFmt numFmtId="1" formatCode="0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166" formatCode="0.0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numFmt numFmtId="166" formatCode="0.0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2" formatCode="0.00"/>
      <fill>
        <patternFill patternType="none">
          <fgColor indexed="64"/>
          <bgColor indexed="65"/>
        </patternFill>
      </fill>
    </dxf>
    <dxf>
      <numFmt numFmtId="165" formatCode="&quot;$&quot;#,##0.00"/>
      <fill>
        <patternFill patternType="none">
          <fgColor indexed="64"/>
          <bgColor indexed="65"/>
        </patternFill>
      </fill>
    </dxf>
    <dxf>
      <numFmt numFmtId="165" formatCode="&quot;$&quot;#,##0.00"/>
      <fill>
        <patternFill patternType="none">
          <fgColor indexed="64"/>
          <bgColor indexed="65"/>
        </patternFill>
      </fill>
    </dxf>
    <dxf>
      <numFmt numFmtId="2" formatCode="0.00"/>
      <fill>
        <patternFill patternType="none">
          <fgColor indexed="64"/>
          <bgColor indexed="65"/>
        </patternFill>
      </fill>
    </dxf>
    <dxf>
      <numFmt numFmtId="2" formatCode="0.00"/>
      <fill>
        <patternFill patternType="none">
          <fgColor indexed="64"/>
          <bgColor indexed="65"/>
        </patternFill>
      </fill>
    </dxf>
    <dxf>
      <numFmt numFmtId="1" formatCode="0"/>
      <fill>
        <patternFill patternType="none">
          <fgColor indexed="64"/>
          <bgColor indexed="65"/>
        </patternFill>
      </fill>
    </dxf>
    <dxf>
      <numFmt numFmtId="1" formatCode="0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solid">
          <fgColor indexed="64"/>
          <bgColor rgb="FFC6EFCE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5" formatCode="&quot;$&quot;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5" formatCode="&quot;$&quot;#,##0.00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9" formatCode="m/d/yyyy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solid">
          <fgColor indexed="64"/>
          <bgColor rgb="FFC6EFCE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9" formatCode="m/d/yyyy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solid">
          <fgColor indexed="64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Segoe UI"/>
        <family val="2"/>
        <scheme val="none"/>
      </font>
      <alignment horizontal="center" vertical="top" textRotation="0" wrapText="1" indent="0" justifyLastLine="0" shrinkToFit="0" readingOrder="1"/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Segoe UI"/>
        <family val="2"/>
        <scheme val="none"/>
      </font>
      <alignment horizontal="center" vertical="top" textRotation="0" wrapText="1" indent="0" justifyLastLine="0" shrinkToFit="0" readingOrder="1"/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Segoe UI"/>
        <family val="2"/>
        <scheme val="none"/>
      </font>
      <alignment horizontal="center" vertical="top" textRotation="0" wrapText="1" indent="0" justifyLastLine="0" shrinkToFit="0" readingOrder="1"/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Segoe UI"/>
        <family val="2"/>
        <scheme val="none"/>
      </font>
      <alignment horizontal="center" vertical="top" textRotation="0" wrapText="1" indent="0" justifyLastLine="0" shrinkToFit="0" readingOrder="1"/>
      <protection locked="0" hidden="1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Segoe UI"/>
        <family val="2"/>
        <scheme val="none"/>
      </font>
      <alignment horizontal="center" vertical="top" textRotation="0" wrapText="1" indent="0" justifyLastLine="0" shrinkToFit="0" readingOrder="1"/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27" formatCode="m/d/yyyy\ h:mm"/>
      <fill>
        <patternFill patternType="solid"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0" formatCode="General"/>
      <fill>
        <patternFill patternType="solid"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bgColor theme="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bgColor theme="0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theme="1"/>
        </top>
      </border>
    </dxf>
    <dxf>
      <fill>
        <patternFill patternType="solid"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none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E0F8F8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5E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openxmlformats.org/officeDocument/2006/relationships/customXml" Target="../customXml/item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Spend (30d) by Drug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Spend (30d) by Drug</c:v>
          </c:tx>
          <c:spPr>
            <a:solidFill>
              <a:srgbClr val="00B05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'Sample Analytics'!$A$5:$A$19</c:f>
              <c:strCache>
                <c:ptCount val="15"/>
                <c:pt idx="0">
                  <c:v>Azovent Tab 10mg</c:v>
                </c:pt>
                <c:pt idx="1">
                  <c:v>Carboprill XR 20mg</c:v>
                </c:pt>
                <c:pt idx="2">
                  <c:v>Dexomab Inj.</c:v>
                </c:pt>
                <c:pt idx="3">
                  <c:v>Lumizole Cap 500mg</c:v>
                </c:pt>
                <c:pt idx="4">
                  <c:v>Zylozid Oral Sol.</c:v>
                </c:pt>
                <c:pt idx="5">
                  <c:v>MetraGel 5%</c:v>
                </c:pt>
                <c:pt idx="6">
                  <c:v>Vitanex ODT 5mg</c:v>
                </c:pt>
                <c:pt idx="7">
                  <c:v>Nexvast Tab 40mg</c:v>
                </c:pt>
                <c:pt idx="8">
                  <c:v>Heliocillin Susp.</c:v>
                </c:pt>
                <c:pt idx="9">
                  <c:v>Orbivast SR 10mg</c:v>
                </c:pt>
                <c:pt idx="10">
                  <c:v>Ventacort Tab 5mg</c:v>
                </c:pt>
                <c:pt idx="11">
                  <c:v>Cortanex Cap 250mg</c:v>
                </c:pt>
                <c:pt idx="12">
                  <c:v>Prilizole Tab 20mg</c:v>
                </c:pt>
                <c:pt idx="13">
                  <c:v>Zidomab Inj.</c:v>
                </c:pt>
                <c:pt idx="14">
                  <c:v>Dopazole Elixir</c:v>
                </c:pt>
              </c:strCache>
            </c:strRef>
          </c:cat>
          <c:val>
            <c:numRef>
              <c:f>'Sample Analytics'!$H$5:$H$19</c:f>
              <c:numCache>
                <c:formatCode>"$"#,##0.00</c:formatCode>
                <c:ptCount val="15"/>
                <c:pt idx="0">
                  <c:v>7437.11</c:v>
                </c:pt>
                <c:pt idx="1">
                  <c:v>9184.77</c:v>
                </c:pt>
                <c:pt idx="2">
                  <c:v>9522.2599999999966</c:v>
                </c:pt>
                <c:pt idx="3">
                  <c:v>8064.0700000000015</c:v>
                </c:pt>
                <c:pt idx="4">
                  <c:v>7471.7699999999986</c:v>
                </c:pt>
                <c:pt idx="5">
                  <c:v>9068.1999999999989</c:v>
                </c:pt>
                <c:pt idx="6">
                  <c:v>8347.58</c:v>
                </c:pt>
                <c:pt idx="7">
                  <c:v>7512.16</c:v>
                </c:pt>
                <c:pt idx="8">
                  <c:v>8250.6999999999989</c:v>
                </c:pt>
                <c:pt idx="9">
                  <c:v>7784.9699999999993</c:v>
                </c:pt>
                <c:pt idx="10">
                  <c:v>9426.4699999999993</c:v>
                </c:pt>
                <c:pt idx="11">
                  <c:v>9220.0400000000009</c:v>
                </c:pt>
                <c:pt idx="12">
                  <c:v>7840.4</c:v>
                </c:pt>
                <c:pt idx="13">
                  <c:v>7230.77</c:v>
                </c:pt>
                <c:pt idx="14">
                  <c:v>7092.18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E89-4841-AC63-01C4FDC394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0"/>
        <c:axId val="460480128"/>
        <c:axId val="460483488"/>
      </c:barChart>
      <c:catAx>
        <c:axId val="4604801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460483488"/>
        <c:crosses val="autoZero"/>
        <c:auto val="1"/>
        <c:lblAlgn val="ctr"/>
        <c:lblOffset val="100"/>
        <c:tickLblSkip val="1"/>
        <c:noMultiLvlLbl val="0"/>
      </c:catAx>
      <c:valAx>
        <c:axId val="460483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DCDCDC">
                  <a:alpha val="8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</c:majorGridlines>
        <c:numFmt formatCode="&quot;$&quot;#,##0.00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460480128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tint val="75000"/>
              <a:shade val="95000"/>
              <a:satMod val="10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Days Until Stockout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Days Until Stockout</c:v>
          </c:tx>
          <c:spPr>
            <a:solidFill>
              <a:srgbClr val="00B05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'Sample Analytics'!$A$5:$A$19</c:f>
              <c:strCache>
                <c:ptCount val="15"/>
                <c:pt idx="0">
                  <c:v>Azovent Tab 10mg</c:v>
                </c:pt>
                <c:pt idx="1">
                  <c:v>Carboprill XR 20mg</c:v>
                </c:pt>
                <c:pt idx="2">
                  <c:v>Dexomab Inj.</c:v>
                </c:pt>
                <c:pt idx="3">
                  <c:v>Lumizole Cap 500mg</c:v>
                </c:pt>
                <c:pt idx="4">
                  <c:v>Zylozid Oral Sol.</c:v>
                </c:pt>
                <c:pt idx="5">
                  <c:v>MetraGel 5%</c:v>
                </c:pt>
                <c:pt idx="6">
                  <c:v>Vitanex ODT 5mg</c:v>
                </c:pt>
                <c:pt idx="7">
                  <c:v>Nexvast Tab 40mg</c:v>
                </c:pt>
                <c:pt idx="8">
                  <c:v>Heliocillin Susp.</c:v>
                </c:pt>
                <c:pt idx="9">
                  <c:v>Orbivast SR 10mg</c:v>
                </c:pt>
                <c:pt idx="10">
                  <c:v>Ventacort Tab 5mg</c:v>
                </c:pt>
                <c:pt idx="11">
                  <c:v>Cortanex Cap 250mg</c:v>
                </c:pt>
                <c:pt idx="12">
                  <c:v>Prilizole Tab 20mg</c:v>
                </c:pt>
                <c:pt idx="13">
                  <c:v>Zidomab Inj.</c:v>
                </c:pt>
                <c:pt idx="14">
                  <c:v>Dopazole Elixir</c:v>
                </c:pt>
              </c:strCache>
            </c:strRef>
          </c:cat>
          <c:val>
            <c:numRef>
              <c:f>'Sample Analytics'!$J$5:$J$19</c:f>
              <c:numCache>
                <c:formatCode>0.0</c:formatCode>
                <c:ptCount val="15"/>
                <c:pt idx="0">
                  <c:v>33.46153846153846</c:v>
                </c:pt>
                <c:pt idx="1">
                  <c:v>22.752808988764045</c:v>
                </c:pt>
                <c:pt idx="2">
                  <c:v>35.35031847133758</c:v>
                </c:pt>
                <c:pt idx="3">
                  <c:v>17.894736842105264</c:v>
                </c:pt>
                <c:pt idx="4">
                  <c:v>22.348993288590602</c:v>
                </c:pt>
                <c:pt idx="5">
                  <c:v>34.285714285714285</c:v>
                </c:pt>
                <c:pt idx="6">
                  <c:v>29.245283018867926</c:v>
                </c:pt>
                <c:pt idx="7">
                  <c:v>25.684931506849317</c:v>
                </c:pt>
                <c:pt idx="8">
                  <c:v>24.038461538461537</c:v>
                </c:pt>
                <c:pt idx="9">
                  <c:v>44.765625</c:v>
                </c:pt>
                <c:pt idx="10">
                  <c:v>29.205298013245034</c:v>
                </c:pt>
                <c:pt idx="11">
                  <c:v>35.389221556886227</c:v>
                </c:pt>
                <c:pt idx="12">
                  <c:v>20.134228187919462</c:v>
                </c:pt>
                <c:pt idx="13">
                  <c:v>13.555555555555555</c:v>
                </c:pt>
                <c:pt idx="14">
                  <c:v>29.361702127659573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913-420B-99AE-66CD7B47B5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0"/>
        <c:axId val="460487328"/>
        <c:axId val="460484448"/>
      </c:barChart>
      <c:catAx>
        <c:axId val="4604873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460484448"/>
        <c:crosses val="autoZero"/>
        <c:auto val="1"/>
        <c:lblAlgn val="ctr"/>
        <c:lblOffset val="100"/>
        <c:tickLblSkip val="1"/>
        <c:noMultiLvlLbl val="0"/>
      </c:catAx>
      <c:valAx>
        <c:axId val="460484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DCDCDC">
                  <a:alpha val="8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</c:majorGridlines>
        <c:numFmt formatCode="0.0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460487328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tint val="75000"/>
              <a:shade val="95000"/>
              <a:satMod val="10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Turnover (30d)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Turnover (30d)</c:v>
          </c:tx>
          <c:spPr>
            <a:solidFill>
              <a:srgbClr val="00B050"/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strRef>
              <c:f>'Sample Analytics'!$A$5:$A$19</c:f>
              <c:strCache>
                <c:ptCount val="15"/>
                <c:pt idx="0">
                  <c:v>Azovent Tab 10mg</c:v>
                </c:pt>
                <c:pt idx="1">
                  <c:v>Carboprill XR 20mg</c:v>
                </c:pt>
                <c:pt idx="2">
                  <c:v>Dexomab Inj.</c:v>
                </c:pt>
                <c:pt idx="3">
                  <c:v>Lumizole Cap 500mg</c:v>
                </c:pt>
                <c:pt idx="4">
                  <c:v>Zylozid Oral Sol.</c:v>
                </c:pt>
                <c:pt idx="5">
                  <c:v>MetraGel 5%</c:v>
                </c:pt>
                <c:pt idx="6">
                  <c:v>Vitanex ODT 5mg</c:v>
                </c:pt>
                <c:pt idx="7">
                  <c:v>Nexvast Tab 40mg</c:v>
                </c:pt>
                <c:pt idx="8">
                  <c:v>Heliocillin Susp.</c:v>
                </c:pt>
                <c:pt idx="9">
                  <c:v>Orbivast SR 10mg</c:v>
                </c:pt>
                <c:pt idx="10">
                  <c:v>Ventacort Tab 5mg</c:v>
                </c:pt>
                <c:pt idx="11">
                  <c:v>Cortanex Cap 250mg</c:v>
                </c:pt>
                <c:pt idx="12">
                  <c:v>Prilizole Tab 20mg</c:v>
                </c:pt>
                <c:pt idx="13">
                  <c:v>Zidomab Inj.</c:v>
                </c:pt>
                <c:pt idx="14">
                  <c:v>Dopazole Elixir</c:v>
                </c:pt>
              </c:strCache>
            </c:strRef>
          </c:cat>
          <c:val>
            <c:numRef>
              <c:f>'Sample Analytics'!$I$5:$I$19</c:f>
              <c:numCache>
                <c:formatCode>0.00</c:formatCode>
                <c:ptCount val="15"/>
                <c:pt idx="0">
                  <c:v>1.164179104477612</c:v>
                </c:pt>
                <c:pt idx="1">
                  <c:v>1.4126984126984128</c:v>
                </c:pt>
                <c:pt idx="2">
                  <c:v>1.256</c:v>
                </c:pt>
                <c:pt idx="3">
                  <c:v>2.3265306122448979</c:v>
                </c:pt>
                <c:pt idx="4">
                  <c:v>1.2789699570815452</c:v>
                </c:pt>
                <c:pt idx="5">
                  <c:v>1.3162393162393162</c:v>
                </c:pt>
                <c:pt idx="6">
                  <c:v>1.1041666666666667</c:v>
                </c:pt>
                <c:pt idx="7">
                  <c:v>1.4455445544554455</c:v>
                </c:pt>
                <c:pt idx="8">
                  <c:v>1.4786729857819905</c:v>
                </c:pt>
                <c:pt idx="9">
                  <c:v>1</c:v>
                </c:pt>
                <c:pt idx="10">
                  <c:v>1.188976377952756</c:v>
                </c:pt>
                <c:pt idx="11">
                  <c:v>1.2945736434108528</c:v>
                </c:pt>
                <c:pt idx="12">
                  <c:v>1.5684210526315789</c:v>
                </c:pt>
                <c:pt idx="13">
                  <c:v>1.6463414634146341</c:v>
                </c:pt>
                <c:pt idx="14">
                  <c:v>1.4842105263157894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908-49A1-8B67-F6E965BA1E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0"/>
        <c:axId val="460489248"/>
        <c:axId val="460489728"/>
      </c:barChart>
      <c:catAx>
        <c:axId val="4604892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460489728"/>
        <c:crosses val="autoZero"/>
        <c:auto val="1"/>
        <c:lblAlgn val="ctr"/>
        <c:lblOffset val="100"/>
        <c:tickLblSkip val="1"/>
        <c:noMultiLvlLbl val="0"/>
      </c:catAx>
      <c:valAx>
        <c:axId val="460489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DCDCDC">
                  <a:alpha val="8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</c:majorGridlines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460489248"/>
        <c:crosses val="autoZero"/>
        <c:crossBetween val="between"/>
      </c:valAx>
      <c:spPr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>
              <a:noFill/>
            </a14:hiddenLine>
          </a:ext>
        </a:extLst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tint val="75000"/>
              <a:shade val="95000"/>
              <a:satMod val="10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hyperlink" Target="#HOME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About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666749</xdr:colOff>
      <xdr:row>22</xdr:row>
      <xdr:rowOff>161925</xdr:rowOff>
    </xdr:from>
    <xdr:to>
      <xdr:col>14</xdr:col>
      <xdr:colOff>581024</xdr:colOff>
      <xdr:row>22</xdr:row>
      <xdr:rowOff>1524000</xdr:rowOff>
    </xdr:to>
    <xdr:pic>
      <xdr:nvPicPr>
        <xdr:cNvPr id="3" name="Graphic 2" descr="Home with solid fil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12A8D9C-D08D-FBBC-150B-D251158D26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8677274" y="5638800"/>
          <a:ext cx="1362075" cy="1362075"/>
        </a:xfrm>
        <a:prstGeom prst="rect">
          <a:avLst/>
        </a:prstGeom>
      </xdr:spPr>
    </xdr:pic>
    <xdr:clientData/>
  </xdr:twoCellAnchor>
  <xdr:twoCellAnchor>
    <xdr:from>
      <xdr:col>13</xdr:col>
      <xdr:colOff>390525</xdr:colOff>
      <xdr:row>18</xdr:row>
      <xdr:rowOff>161925</xdr:rowOff>
    </xdr:from>
    <xdr:to>
      <xdr:col>13</xdr:col>
      <xdr:colOff>581025</xdr:colOff>
      <xdr:row>22</xdr:row>
      <xdr:rowOff>104775</xdr:rowOff>
    </xdr:to>
    <xdr:sp macro="" textlink="">
      <xdr:nvSpPr>
        <xdr:cNvPr id="4" name="Arrow: Down 3">
          <a:extLst>
            <a:ext uri="{FF2B5EF4-FFF2-40B4-BE49-F238E27FC236}">
              <a16:creationId xmlns:a16="http://schemas.microsoft.com/office/drawing/2014/main" id="{B8DC2169-50CA-08CE-AAEF-AD91C19B34F8}"/>
            </a:ext>
          </a:extLst>
        </xdr:cNvPr>
        <xdr:cNvSpPr/>
      </xdr:nvSpPr>
      <xdr:spPr>
        <a:xfrm>
          <a:off x="9191625" y="4829175"/>
          <a:ext cx="190500" cy="704850"/>
        </a:xfrm>
        <a:prstGeom prst="down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104774</xdr:colOff>
      <xdr:row>17</xdr:row>
      <xdr:rowOff>54182</xdr:rowOff>
    </xdr:from>
    <xdr:to>
      <xdr:col>9</xdr:col>
      <xdr:colOff>48597</xdr:colOff>
      <xdr:row>23</xdr:row>
      <xdr:rowOff>68036</xdr:rowOff>
    </xdr:to>
    <xdr:sp macro="[0]!ShowInventoryInputForm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B9179CFE-6A88-1B2A-5583-58528C91E2B9}"/>
            </a:ext>
          </a:extLst>
        </xdr:cNvPr>
        <xdr:cNvSpPr/>
      </xdr:nvSpPr>
      <xdr:spPr>
        <a:xfrm>
          <a:off x="2835922" y="4700049"/>
          <a:ext cx="2976272" cy="1607834"/>
        </a:xfrm>
        <a:prstGeom prst="roundRect">
          <a:avLst/>
        </a:prstGeom>
        <a:solidFill>
          <a:srgbClr val="005E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/>
            <a:t>Log</a:t>
          </a:r>
          <a:r>
            <a:rPr lang="en-US" sz="2800" baseline="0"/>
            <a:t> Inventory</a:t>
          </a:r>
        </a:p>
      </xdr:txBody>
    </xdr:sp>
    <xdr:clientData/>
  </xdr:twoCellAnchor>
  <xdr:twoCellAnchor>
    <xdr:from>
      <xdr:col>6</xdr:col>
      <xdr:colOff>455839</xdr:colOff>
      <xdr:row>26</xdr:row>
      <xdr:rowOff>88626</xdr:rowOff>
    </xdr:from>
    <xdr:to>
      <xdr:col>11</xdr:col>
      <xdr:colOff>512989</xdr:colOff>
      <xdr:row>34</xdr:row>
      <xdr:rowOff>67493</xdr:rowOff>
    </xdr:to>
    <xdr:sp macro="[0]!GenerateReport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7C3517D5-6C7A-1242-C621-5BB73DA9E0BF}"/>
            </a:ext>
          </a:extLst>
        </xdr:cNvPr>
        <xdr:cNvSpPr/>
      </xdr:nvSpPr>
      <xdr:spPr>
        <a:xfrm>
          <a:off x="4440788" y="6911636"/>
          <a:ext cx="3021563" cy="1738076"/>
        </a:xfrm>
        <a:prstGeom prst="roundRect">
          <a:avLst/>
        </a:prstGeom>
        <a:solidFill>
          <a:srgbClr val="005E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/>
            <a:t>Generate Report</a:t>
          </a:r>
        </a:p>
      </xdr:txBody>
    </xdr:sp>
    <xdr:clientData/>
  </xdr:twoCellAnchor>
  <xdr:twoCellAnchor>
    <xdr:from>
      <xdr:col>10</xdr:col>
      <xdr:colOff>457200</xdr:colOff>
      <xdr:row>17</xdr:row>
      <xdr:rowOff>117267</xdr:rowOff>
    </xdr:from>
    <xdr:to>
      <xdr:col>14</xdr:col>
      <xdr:colOff>971550</xdr:colOff>
      <xdr:row>23</xdr:row>
      <xdr:rowOff>42576</xdr:rowOff>
    </xdr:to>
    <xdr:sp macro="[0]!ImportWeeklyData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E547824C-C33E-4238-AE1C-40584B3763AA}"/>
            </a:ext>
          </a:extLst>
        </xdr:cNvPr>
        <xdr:cNvSpPr/>
      </xdr:nvSpPr>
      <xdr:spPr>
        <a:xfrm>
          <a:off x="6753225" y="4346367"/>
          <a:ext cx="2876550" cy="1535034"/>
        </a:xfrm>
        <a:prstGeom prst="roundRect">
          <a:avLst/>
        </a:prstGeom>
        <a:solidFill>
          <a:srgbClr val="005E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/>
            <a:t>Import Supplier Data</a:t>
          </a:r>
        </a:p>
      </xdr:txBody>
    </xdr:sp>
    <xdr:clientData/>
  </xdr:twoCellAnchor>
  <xdr:twoCellAnchor>
    <xdr:from>
      <xdr:col>0</xdr:col>
      <xdr:colOff>295274</xdr:colOff>
      <xdr:row>5</xdr:row>
      <xdr:rowOff>190499</xdr:rowOff>
    </xdr:from>
    <xdr:to>
      <xdr:col>2</xdr:col>
      <xdr:colOff>142875</xdr:colOff>
      <xdr:row>9</xdr:row>
      <xdr:rowOff>17226</xdr:rowOff>
    </xdr:to>
    <xdr:sp macro="[0]!ShowInventoryInputForm" textlink="">
      <xdr:nvSpPr>
        <xdr:cNvPr id="17" name="Rectangle: Rounded Corners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2665C40-6BBB-9E52-7135-C16520CD92C1}"/>
            </a:ext>
          </a:extLst>
        </xdr:cNvPr>
        <xdr:cNvSpPr/>
      </xdr:nvSpPr>
      <xdr:spPr>
        <a:xfrm>
          <a:off x="295274" y="2038349"/>
          <a:ext cx="1400176" cy="588727"/>
        </a:xfrm>
        <a:prstGeom prst="roundRect">
          <a:avLst/>
        </a:prstGeom>
        <a:solidFill>
          <a:srgbClr val="005E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aseline="0"/>
            <a:t>About</a:t>
          </a:r>
        </a:p>
      </xdr:txBody>
    </xdr:sp>
    <xdr:clientData/>
  </xdr:twoCellAnchor>
  <xdr:twoCellAnchor>
    <xdr:from>
      <xdr:col>14</xdr:col>
      <xdr:colOff>1428750</xdr:colOff>
      <xdr:row>19</xdr:row>
      <xdr:rowOff>152400</xdr:rowOff>
    </xdr:from>
    <xdr:to>
      <xdr:col>15</xdr:col>
      <xdr:colOff>628650</xdr:colOff>
      <xdr:row>20</xdr:row>
      <xdr:rowOff>19050</xdr:rowOff>
    </xdr:to>
    <xdr:cxnSp macro="">
      <xdr:nvCxnSpPr>
        <xdr:cNvPr id="25" name="Straight Arrow Connector 24">
          <a:extLst>
            <a:ext uri="{FF2B5EF4-FFF2-40B4-BE49-F238E27FC236}">
              <a16:creationId xmlns:a16="http://schemas.microsoft.com/office/drawing/2014/main" id="{B8337161-D71E-74CF-AC20-CD201C206B4E}"/>
            </a:ext>
          </a:extLst>
        </xdr:cNvPr>
        <xdr:cNvCxnSpPr/>
      </xdr:nvCxnSpPr>
      <xdr:spPr>
        <a:xfrm flipH="1">
          <a:off x="9963150" y="4772025"/>
          <a:ext cx="1876425" cy="66675"/>
        </a:xfrm>
        <a:prstGeom prst="straightConnector1">
          <a:avLst/>
        </a:prstGeom>
        <a:ln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142875</xdr:colOff>
      <xdr:row>21</xdr:row>
      <xdr:rowOff>161925</xdr:rowOff>
    </xdr:from>
    <xdr:to>
      <xdr:col>3</xdr:col>
      <xdr:colOff>409575</xdr:colOff>
      <xdr:row>21</xdr:row>
      <xdr:rowOff>190500</xdr:rowOff>
    </xdr:to>
    <xdr:cxnSp macro="">
      <xdr:nvCxnSpPr>
        <xdr:cNvPr id="29" name="Straight Arrow Connector 28">
          <a:extLst>
            <a:ext uri="{FF2B5EF4-FFF2-40B4-BE49-F238E27FC236}">
              <a16:creationId xmlns:a16="http://schemas.microsoft.com/office/drawing/2014/main" id="{0813DFED-75F2-4FE5-288E-46B177DA0259}"/>
            </a:ext>
          </a:extLst>
        </xdr:cNvPr>
        <xdr:cNvCxnSpPr/>
      </xdr:nvCxnSpPr>
      <xdr:spPr>
        <a:xfrm flipV="1">
          <a:off x="1695450" y="5010150"/>
          <a:ext cx="857250" cy="28575"/>
        </a:xfrm>
        <a:prstGeom prst="straightConnector1">
          <a:avLst/>
        </a:prstGeom>
        <a:ln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514350</xdr:colOff>
      <xdr:row>30</xdr:row>
      <xdr:rowOff>87474</xdr:rowOff>
    </xdr:from>
    <xdr:to>
      <xdr:col>6</xdr:col>
      <xdr:colOff>87474</xdr:colOff>
      <xdr:row>31</xdr:row>
      <xdr:rowOff>76200</xdr:rowOff>
    </xdr:to>
    <xdr:cxnSp macro="">
      <xdr:nvCxnSpPr>
        <xdr:cNvPr id="33" name="Straight Arrow Connector 32">
          <a:extLst>
            <a:ext uri="{FF2B5EF4-FFF2-40B4-BE49-F238E27FC236}">
              <a16:creationId xmlns:a16="http://schemas.microsoft.com/office/drawing/2014/main" id="{3E83DC3E-CFD8-6103-FF0F-868ACC7C8E88}"/>
            </a:ext>
          </a:extLst>
        </xdr:cNvPr>
        <xdr:cNvCxnSpPr/>
      </xdr:nvCxnSpPr>
      <xdr:spPr>
        <a:xfrm flipV="1">
          <a:off x="2059733" y="7746352"/>
          <a:ext cx="2012690" cy="192833"/>
        </a:xfrm>
        <a:prstGeom prst="straightConnector1">
          <a:avLst/>
        </a:prstGeom>
        <a:ln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409575</xdr:colOff>
      <xdr:row>38</xdr:row>
      <xdr:rowOff>69382</xdr:rowOff>
    </xdr:from>
    <xdr:to>
      <xdr:col>11</xdr:col>
      <xdr:colOff>466725</xdr:colOff>
      <xdr:row>47</xdr:row>
      <xdr:rowOff>57774</xdr:rowOff>
    </xdr:to>
    <xdr:sp macro="[0]!GenerateSampleData30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3B4661E5-399E-1F7A-0B7B-14BCCC069CBF}"/>
            </a:ext>
          </a:extLst>
        </xdr:cNvPr>
        <xdr:cNvSpPr/>
      </xdr:nvSpPr>
      <xdr:spPr>
        <a:xfrm>
          <a:off x="4396468" y="9485525"/>
          <a:ext cx="3016703" cy="1716499"/>
        </a:xfrm>
        <a:prstGeom prst="roundRect">
          <a:avLst/>
        </a:prstGeom>
        <a:solidFill>
          <a:srgbClr val="005E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/>
            <a:t>Generate Sample</a:t>
          </a:r>
          <a:r>
            <a:rPr lang="en-US" sz="2800" baseline="0"/>
            <a:t> Data (30d)</a:t>
          </a:r>
          <a:endParaRPr lang="en-US" sz="2800"/>
        </a:p>
      </xdr:txBody>
    </xdr:sp>
    <xdr:clientData/>
  </xdr:twoCellAnchor>
  <xdr:twoCellAnchor>
    <xdr:from>
      <xdr:col>11</xdr:col>
      <xdr:colOff>581025</xdr:colOff>
      <xdr:row>41</xdr:row>
      <xdr:rowOff>57150</xdr:rowOff>
    </xdr:from>
    <xdr:to>
      <xdr:col>13</xdr:col>
      <xdr:colOff>409575</xdr:colOff>
      <xdr:row>41</xdr:row>
      <xdr:rowOff>104775</xdr:rowOff>
    </xdr:to>
    <xdr:cxnSp macro="">
      <xdr:nvCxnSpPr>
        <xdr:cNvPr id="2" name="Straight Arrow Connector 1">
          <a:extLst>
            <a:ext uri="{FF2B5EF4-FFF2-40B4-BE49-F238E27FC236}">
              <a16:creationId xmlns:a16="http://schemas.microsoft.com/office/drawing/2014/main" id="{ACA1A687-203A-69EB-69D4-ACC1CD8063FD}"/>
            </a:ext>
          </a:extLst>
        </xdr:cNvPr>
        <xdr:cNvCxnSpPr/>
      </xdr:nvCxnSpPr>
      <xdr:spPr>
        <a:xfrm flipH="1">
          <a:off x="7515225" y="10067925"/>
          <a:ext cx="1009650" cy="47625"/>
        </a:xfrm>
        <a:prstGeom prst="straightConnector1">
          <a:avLst/>
        </a:prstGeom>
        <a:ln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1224643</xdr:colOff>
      <xdr:row>31</xdr:row>
      <xdr:rowOff>126352</xdr:rowOff>
    </xdr:from>
    <xdr:to>
      <xdr:col>14</xdr:col>
      <xdr:colOff>1234362</xdr:colOff>
      <xdr:row>38</xdr:row>
      <xdr:rowOff>19439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70046C1F-C0CD-6784-EED7-A0DD687E49B0}"/>
            </a:ext>
          </a:extLst>
        </xdr:cNvPr>
        <xdr:cNvCxnSpPr/>
      </xdr:nvCxnSpPr>
      <xdr:spPr>
        <a:xfrm>
          <a:off x="9952653" y="8018495"/>
          <a:ext cx="9719" cy="1535663"/>
        </a:xfrm>
        <a:prstGeom prst="straightConnector1">
          <a:avLst/>
        </a:prstGeom>
        <a:ln>
          <a:tailEnd type="triangle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396875</xdr:colOff>
      <xdr:row>6</xdr:row>
      <xdr:rowOff>34925</xdr:rowOff>
    </xdr:from>
    <xdr:to>
      <xdr:col>10</xdr:col>
      <xdr:colOff>152400</xdr:colOff>
      <xdr:row>13</xdr:row>
      <xdr:rowOff>57150</xdr:rowOff>
    </xdr:to>
    <xdr:sp macro="[0]!ClearInputs" textlink="">
      <xdr:nvSpPr>
        <xdr:cNvPr id="4" name="Rectangle: Beveled 3">
          <a:extLst>
            <a:ext uri="{FF2B5EF4-FFF2-40B4-BE49-F238E27FC236}">
              <a16:creationId xmlns:a16="http://schemas.microsoft.com/office/drawing/2014/main" id="{B3F74BCC-3A16-E94E-EB79-242975145D66}"/>
            </a:ext>
          </a:extLst>
        </xdr:cNvPr>
        <xdr:cNvSpPr/>
      </xdr:nvSpPr>
      <xdr:spPr>
        <a:xfrm>
          <a:off x="13103225" y="1797050"/>
          <a:ext cx="1279525" cy="1355725"/>
        </a:xfrm>
        <a:prstGeom prst="bevel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solidFill>
                <a:schemeClr val="tx1"/>
              </a:solidFill>
            </a:rPr>
            <a:t>CLEAR</a:t>
          </a:r>
          <a:r>
            <a:rPr lang="en-US" sz="1800" b="1" baseline="0">
              <a:solidFill>
                <a:schemeClr val="tx1"/>
              </a:solidFill>
            </a:rPr>
            <a:t> ALL INPUTS	</a:t>
          </a:r>
          <a:endParaRPr lang="en-US" sz="1800" b="1">
            <a:solidFill>
              <a:schemeClr val="tx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275897</xdr:colOff>
      <xdr:row>3</xdr:row>
      <xdr:rowOff>72258</xdr:rowOff>
    </xdr:from>
    <xdr:to>
      <xdr:col>5</xdr:col>
      <xdr:colOff>45983</xdr:colOff>
      <xdr:row>4</xdr:row>
      <xdr:rowOff>45983</xdr:rowOff>
    </xdr:to>
    <xdr:sp macro="" textlink="">
      <xdr:nvSpPr>
        <xdr:cNvPr id="11" name="Rectangle: Rounded Corners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32C3F94-13A0-53CB-B70E-114A2EAF081F}"/>
            </a:ext>
          </a:extLst>
        </xdr:cNvPr>
        <xdr:cNvSpPr/>
      </xdr:nvSpPr>
      <xdr:spPr>
        <a:xfrm>
          <a:off x="5228897" y="486103"/>
          <a:ext cx="1399189" cy="308742"/>
        </a:xfrm>
        <a:prstGeom prst="round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Home</a:t>
          </a:r>
        </a:p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606320</xdr:colOff>
      <xdr:row>0</xdr:row>
      <xdr:rowOff>50800</xdr:rowOff>
    </xdr:from>
    <xdr:to>
      <xdr:col>8</xdr:col>
      <xdr:colOff>525578</xdr:colOff>
      <xdr:row>2</xdr:row>
      <xdr:rowOff>2523</xdr:rowOff>
    </xdr:to>
    <xdr:sp macro="GoHOME" textlink="">
      <xdr:nvSpPr>
        <xdr:cNvPr id="46" name="btnHOME">
          <a:extLst>
            <a:ext uri="{FF2B5EF4-FFF2-40B4-BE49-F238E27FC236}">
              <a16:creationId xmlns:a16="http://schemas.microsoft.com/office/drawing/2014/main" id="{CE96A17B-F330-EB5B-0ABB-B34A7CCC8B73}"/>
            </a:ext>
          </a:extLst>
        </xdr:cNvPr>
        <xdr:cNvSpPr/>
      </xdr:nvSpPr>
      <xdr:spPr>
        <a:xfrm>
          <a:off x="6781800" y="50800"/>
          <a:ext cx="1143000" cy="330200"/>
        </a:xfrm>
        <a:prstGeom prst="roundRect">
          <a:avLst/>
        </a:prstGeom>
        <a:solidFill>
          <a:srgbClr val="0061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FFFFFF"/>
              </a:solidFill>
            </a:rPr>
            <a:t>HOME</a:t>
          </a:r>
        </a:p>
      </xdr:txBody>
    </xdr:sp>
    <xdr:clientData/>
  </xdr:twoCellAnchor>
  <xdr:twoCellAnchor>
    <xdr:from>
      <xdr:col>8</xdr:col>
      <xdr:colOff>601778</xdr:colOff>
      <xdr:row>0</xdr:row>
      <xdr:rowOff>50800</xdr:rowOff>
    </xdr:from>
    <xdr:to>
      <xdr:col>11</xdr:col>
      <xdr:colOff>290166</xdr:colOff>
      <xdr:row>2</xdr:row>
      <xdr:rowOff>2523</xdr:rowOff>
    </xdr:to>
    <xdr:sp macro="ExportReport" textlink="">
      <xdr:nvSpPr>
        <xdr:cNvPr id="47" name="btnExport">
          <a:extLst>
            <a:ext uri="{FF2B5EF4-FFF2-40B4-BE49-F238E27FC236}">
              <a16:creationId xmlns:a16="http://schemas.microsoft.com/office/drawing/2014/main" id="{BFAAC79D-13CE-B13D-A69A-F9DC5CA54C3B}"/>
            </a:ext>
          </a:extLst>
        </xdr:cNvPr>
        <xdr:cNvSpPr/>
      </xdr:nvSpPr>
      <xdr:spPr>
        <a:xfrm>
          <a:off x="8001000" y="50800"/>
          <a:ext cx="1524000" cy="330200"/>
        </a:xfrm>
        <a:prstGeom prst="roundRect">
          <a:avLst/>
        </a:prstGeom>
        <a:solidFill>
          <a:srgbClr val="0061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FFFFFF"/>
              </a:solidFill>
            </a:rPr>
            <a:t>Export Report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50800</xdr:rowOff>
    </xdr:from>
    <xdr:to>
      <xdr:col>10</xdr:col>
      <xdr:colOff>457200</xdr:colOff>
      <xdr:row>2</xdr:row>
      <xdr:rowOff>25400</xdr:rowOff>
    </xdr:to>
    <xdr:sp macro="BuildSampleAnalytics" textlink="">
      <xdr:nvSpPr>
        <xdr:cNvPr id="2" name="btnBuildSampleAnalytics">
          <a:extLst>
            <a:ext uri="{FF2B5EF4-FFF2-40B4-BE49-F238E27FC236}">
              <a16:creationId xmlns:a16="http://schemas.microsoft.com/office/drawing/2014/main" id="{88B53F17-446E-CA02-56CC-C04B52BDC71E}"/>
            </a:ext>
          </a:extLst>
        </xdr:cNvPr>
        <xdr:cNvSpPr/>
      </xdr:nvSpPr>
      <xdr:spPr>
        <a:xfrm>
          <a:off x="7534275" y="50800"/>
          <a:ext cx="2286000" cy="355600"/>
        </a:xfrm>
        <a:prstGeom prst="roundRect">
          <a:avLst/>
        </a:prstGeom>
        <a:solidFill>
          <a:srgbClr val="006100"/>
        </a:solidFill>
        <a:effectLst>
          <a:prstShdw prst="shdw6" dist="107763" dir="2700000">
            <a:srgbClr val="C8C8C8">
              <a:alpha val="50000"/>
            </a:srgbClr>
          </a:prst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FFFFFF"/>
              </a:solidFill>
            </a:rPr>
            <a:t>Build Sample Analytics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0</xdr:rowOff>
    </xdr:from>
    <xdr:to>
      <xdr:col>4</xdr:col>
      <xdr:colOff>269875</xdr:colOff>
      <xdr:row>34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F3AC4D9-E9B3-8D93-C304-6535D039210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20</xdr:row>
      <xdr:rowOff>0</xdr:rowOff>
    </xdr:from>
    <xdr:to>
      <xdr:col>9</xdr:col>
      <xdr:colOff>1289050</xdr:colOff>
      <xdr:row>34</xdr:row>
      <xdr:rowOff>127000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53F2D0A-0ADE-E407-CB94-7AB81DCFA7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0</xdr:colOff>
      <xdr:row>20</xdr:row>
      <xdr:rowOff>0</xdr:rowOff>
    </xdr:from>
    <xdr:to>
      <xdr:col>17</xdr:col>
      <xdr:colOff>136525</xdr:colOff>
      <xdr:row>34</xdr:row>
      <xdr:rowOff>127000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647D5BA-3E8B-A962-B6DB-A6BCDD9882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0</xdr:colOff>
      <xdr:row>0</xdr:row>
      <xdr:rowOff>50800</xdr:rowOff>
    </xdr:from>
    <xdr:to>
      <xdr:col>12</xdr:col>
      <xdr:colOff>361950</xdr:colOff>
      <xdr:row>2</xdr:row>
      <xdr:rowOff>0</xdr:rowOff>
    </xdr:to>
    <xdr:sp macro="GoHOMESample" textlink="">
      <xdr:nvSpPr>
        <xdr:cNvPr id="5" name="btnHOMESampleAnalytics">
          <a:extLst>
            <a:ext uri="{FF2B5EF4-FFF2-40B4-BE49-F238E27FC236}">
              <a16:creationId xmlns:a16="http://schemas.microsoft.com/office/drawing/2014/main" id="{D2086EE5-127D-4128-FE80-54BFE6CCB770}"/>
            </a:ext>
          </a:extLst>
        </xdr:cNvPr>
        <xdr:cNvSpPr/>
      </xdr:nvSpPr>
      <xdr:spPr>
        <a:xfrm>
          <a:off x="11506200" y="50800"/>
          <a:ext cx="1143000" cy="330200"/>
        </a:xfrm>
        <a:prstGeom prst="roundRect">
          <a:avLst/>
        </a:prstGeom>
        <a:solidFill>
          <a:srgbClr val="006100"/>
        </a:solidFill>
        <a:effectLst>
          <a:prstShdw prst="shdw6" dist="107763" dir="2700000">
            <a:srgbClr val="C8C8C8">
              <a:alpha val="50000"/>
            </a:srgbClr>
          </a:prst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FFFFFF"/>
              </a:solidFill>
            </a:rPr>
            <a:t>HOME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F1CA5CD-1490-486F-B675-47EB25700C11}" name="Table13" displayName="Table13" ref="A6:G182" totalsRowShown="0" headerRowDxfId="99" dataDxfId="98" tableBorderDxfId="97">
  <autoFilter ref="A6:G182" xr:uid="{6F1CA5CD-1490-486F-B675-47EB25700C1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49537D94-3CE9-4A87-9193-78A510575082}" name="Drug Name" dataDxfId="96"/>
    <tableColumn id="2" xr3:uid="{970604FF-33F5-4C05-AB73-9227DC2D30CF}" name="Canister Number" dataDxfId="95">
      <calculatedColumnFormula>RANDBETWEEN(1,100)</calculatedColumnFormula>
    </tableColumn>
    <tableColumn id="3" xr3:uid="{DD80CEEA-5DDD-45C6-A349-E43DFBD61A30}" name="Drug ID" dataDxfId="94"/>
    <tableColumn id="4" xr3:uid="{3F7365D5-672C-4976-AAC0-4DDD27E38954}" name="Description" dataDxfId="93"/>
    <tableColumn id="5" xr3:uid="{9A2F5A60-390C-4AAD-AD68-7AAF2D79FDA7}" name="Manufacturer" dataDxfId="92"/>
    <tableColumn id="6" xr3:uid="{E051DE0A-4674-4E5F-8A5F-AF0474562B96}" name="Count" dataDxfId="91"/>
    <tableColumn id="7" xr3:uid="{64C8A613-DDC0-4D26-A099-0DE051788AB9}" name="Date Logged" dataDxfId="90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547CDEC-3920-4C22-86DD-ABBB8E12F74B}" name="Table3" displayName="Table3" ref="A8:C33" totalsRowShown="0" headerRowDxfId="89" dataDxfId="87" headerRowBorderDxfId="88">
  <autoFilter ref="A8:C33" xr:uid="{9547CDEC-3920-4C22-86DD-ABBB8E12F74B}">
    <filterColumn colId="0" hiddenButton="1"/>
    <filterColumn colId="1" hiddenButton="1"/>
    <filterColumn colId="2" hiddenButton="1"/>
  </autoFilter>
  <tableColumns count="3">
    <tableColumn id="1" xr3:uid="{66B35BF5-5962-4AB7-B3F8-05EF413C6FB5}" name="Drug Name" dataDxfId="86"/>
    <tableColumn id="2" xr3:uid="{E55BE2E9-1C17-44AA-B2B2-8EE5A95663B8}" name="Drug ID" dataDxfId="85"/>
    <tableColumn id="3" xr3:uid="{B82552BD-3337-4FB2-9C27-5B1F1B2D2A56}" name="Expected Quantity" dataDxfId="84"/>
  </tableColumns>
  <tableStyleInfo name="TableStyleMedium1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" xr:uid="{37204066-7CD5-47A1-8ABD-D015A28360D3}" name="ReportTable" displayName="ReportTable" ref="A4:F15" totalsRowShown="0" headerRowDxfId="2">
  <autoFilter ref="A4:F15" xr:uid="{37204066-7CD5-47A1-8ABD-D015A28360D3}"/>
  <tableColumns count="6">
    <tableColumn id="1" xr3:uid="{A41D7CA0-0AC3-4780-AD62-63F6F246EAF8}" name="Drug Name"/>
    <tableColumn id="2" xr3:uid="{66A6A877-19C0-40F9-9B72-9ED53207819E}" name="Drug ID"/>
    <tableColumn id="3" xr3:uid="{F1B22BA9-B9B3-4E6B-BBCF-4AE4EA2CA115}" name="Physical Count"/>
    <tableColumn id="4" xr3:uid="{5C1C7667-AE22-41B8-BFFD-B1595E02A230}" name="Expected Count"/>
    <tableColumn id="5" xr3:uid="{2D5AE19D-30C9-4CFD-93F4-CA127637EBDE}" name="Status"/>
    <tableColumn id="6" xr3:uid="{2ACD17FE-28E9-4D10-8E6C-C43A0549E060}" name="Comments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F83F843-AF8C-485F-89FC-F4677D4535DF}" name="tblPresets" displayName="tblPresets" ref="A1:D76" totalsRowShown="0">
  <autoFilter ref="A1:D76" xr:uid="{8F83F843-AF8C-485F-89FC-F4677D4535DF}"/>
  <tableColumns count="4">
    <tableColumn id="1" xr3:uid="{95E35BE9-3F20-4357-9909-D3EB7C07A34F}" name="Dataset"/>
    <tableColumn id="2" xr3:uid="{B7BAB398-653E-4BED-A5DE-AB545D05CFF3}" name="Drug Name"/>
    <tableColumn id="3" xr3:uid="{AE1C921F-A94E-43CA-A58A-61C0A01DA82C}" name="Drug ID"/>
    <tableColumn id="4" xr3:uid="{E4FF804F-0409-4E3F-B47F-5BE1A1DCC0A7}" name="Expected Quantity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11AA7C07-54FE-4E8F-AAE3-A4AB1EE8700C}" name="SampleDataTbl_Inventory" displayName="SampleDataTbl_Inventory" ref="A1:G16" totalsRowShown="0" headerRowDxfId="83" dataDxfId="75">
  <autoFilter ref="A1:G16" xr:uid="{11AA7C07-54FE-4E8F-AAE3-A4AB1EE8700C}"/>
  <tableColumns count="7">
    <tableColumn id="1" xr3:uid="{D52AF8FB-C895-4A08-A446-8671023835EB}" name="Drug Name" dataDxfId="82"/>
    <tableColumn id="2" xr3:uid="{37D29ED2-7167-4FA4-9716-1526771D5717}" name="Drug ID" dataDxfId="81"/>
    <tableColumn id="3" xr3:uid="{886F5723-EBFE-459B-9806-D77F717504AA}" name="Current Stock" dataDxfId="80"/>
    <tableColumn id="4" xr3:uid="{0AF7C940-4FB5-43CC-A34A-FD3102593065}" name="Expected Stock" dataDxfId="79"/>
    <tableColumn id="5" xr3:uid="{1C4E4E9B-19D0-4455-8313-1B4CC18F44CE}" name="Expiry Date" dataDxfId="78"/>
    <tableColumn id="6" xr3:uid="{1B55F76A-556A-4240-97F4-81295A079F91}" name="LeadTimeDays" dataDxfId="77"/>
    <tableColumn id="7" xr3:uid="{C24451C8-10FD-44F0-AA9C-15DBE439EB16}" name="SafetyStock" dataDxfId="76"/>
  </tableColumns>
  <tableStyleInfo name="TableStyleLight9" showFirstColumn="0" showLastColumn="0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F2FB3D5D-4BB4-49DE-8D73-2B28C8A18FB4}" name="SampleDataTbl_Dispense" displayName="SampleDataTbl_Dispense" ref="A18:F468" totalsRowShown="0" headerRowDxfId="74" dataDxfId="67">
  <autoFilter ref="A18:F468" xr:uid="{F2FB3D5D-4BB4-49DE-8D73-2B28C8A18FB4}"/>
  <tableColumns count="6">
    <tableColumn id="1" xr3:uid="{F96E1073-126A-44E3-A032-2DC27550E3E0}" name="Date" dataDxfId="73"/>
    <tableColumn id="2" xr3:uid="{7155FB29-6534-45D8-A63D-433208F2CAF6}" name="Drug Name" dataDxfId="72"/>
    <tableColumn id="3" xr3:uid="{C413DE26-A119-47FF-90C2-DE6CABC47AFB}" name="Drug ID" dataDxfId="71"/>
    <tableColumn id="4" xr3:uid="{14FEDC3C-600E-421D-9FB4-3878EB614909}" name="QtyDispensed" dataDxfId="70"/>
    <tableColumn id="5" xr3:uid="{7E977D99-5109-4F31-AD78-294038B11BC6}" name="UnitCost" dataDxfId="69"/>
    <tableColumn id="6" xr3:uid="{BC8F29FD-A5D3-4DE2-BBFD-5B395DCB8893}" name="TotalCost" dataDxfId="68"/>
  </tableColumns>
  <tableStyleInfo name="TableStyleLight9" showFirstColumn="0" showLastColumn="0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AB6BAB9F-C476-4DE9-B3DE-D14A2BDC7BE0}" name="SampleAnalyticsTable" displayName="SampleAnalyticsTable" ref="A4:O19" totalsRowShown="0" headerRowDxfId="66" dataDxfId="64">
  <autoFilter ref="A4:O19" xr:uid="{AB6BAB9F-C476-4DE9-B3DE-D14A2BDC7BE0}"/>
  <tableColumns count="15">
    <tableColumn id="1" xr3:uid="{A30929C7-31AC-4721-988C-F317A506417C}" name="Drug Name" dataDxfId="65"/>
    <tableColumn id="2" xr3:uid="{42310342-7A7D-4137-889B-EDB4C6C7D496}" name="Drug ID" dataDxfId="63"/>
    <tableColumn id="3" xr3:uid="{EC222718-8EC1-4687-A065-EB8FD26353E7}" name="Current Stock" dataDxfId="62"/>
    <tableColumn id="4" xr3:uid="{7E7CE117-74A7-4A18-8F19-C0C1A6FB5B36}" name="Expected Stock" dataDxfId="61"/>
    <tableColumn id="5" xr3:uid="{92D96FB7-381C-44A1-8E89-3B05920051E6}" name="Dispensed (30d)" dataDxfId="60"/>
    <tableColumn id="6" xr3:uid="{B8D08A8B-77F7-4F9B-B0A6-73FAA92D08D5}" name="Avg Daily Dispense" dataDxfId="59"/>
    <tableColumn id="7" xr3:uid="{0B582B99-325D-4F42-AE50-B95204A09E3D}" name="Avg Unit Cost" dataDxfId="58"/>
    <tableColumn id="8" xr3:uid="{7006B360-A2F5-4261-9977-7321ECABF3A8}" name="Spend (30d)" dataDxfId="57"/>
    <tableColumn id="9" xr3:uid="{059E5764-681B-413A-9A3B-A94CDE13C531}" name="Turnover (30d)" dataDxfId="56"/>
    <tableColumn id="10" xr3:uid="{EB53D56B-74B5-4A08-A475-6EDB97BDA681}" name="Days Until Stockout" dataDxfId="54"/>
    <tableColumn id="11" xr3:uid="{66978FD0-2BD9-4A66-AEB4-E233CEBBA492}" name="Note" dataDxfId="55"/>
    <tableColumn id="12" xr3:uid="{2A3E665C-F60F-4FF9-A852-4AF9931E7BE8}" name="ABC Class" dataDxfId="11"/>
    <tableColumn id="13" xr3:uid="{6D363BDF-B6B5-42E5-8A78-E6E98934E4BA}" name="Reorder Point" dataDxfId="10"/>
    <tableColumn id="14" xr3:uid="{35C342F0-0D46-4C74-BA4E-F6C86A8A5E5A}" name="Order Now" dataDxfId="9"/>
    <tableColumn id="15" xr3:uid="{66FD0312-C49A-472B-AD48-BA20D05E0605}" name="Days to Expiry" dataDxfId="8"/>
  </tableColumns>
  <tableStyleInfo name="TableStyleLight9" showFirstColumn="0" showLastColumn="0" showRowStripes="0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  <wetp:taskpane dockstate="right" visibility="0" width="350" row="1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621C5B56-F1C3-43C2-B3FB-1C1428D6266E}">
  <we:reference id="wa200005502" version="1.0.0.12" store="en-US" storeType="OMEX"/>
  <we:alternateReferences>
    <we:reference id="WA200005502" version="1.0.0.12" store="" storeType="OMEX"/>
  </we:alternateReferences>
  <we:properties>
    <we:property name="docId" value="&quot;NYOqRmUAstOqyqGccs0aE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C2B2D32D-0BF2-4B7B-BB71-FD5B026374A6}">
  <we:reference id="wa200005271" version="2.5.5.0" store="en-US" storeType="OMEX"/>
  <we:alternateReferences>
    <we:reference id="WA200005271" version="2.5.5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s://github.com/DarylOkeke/pharmacy_inventory_app.git" TargetMode="External"/><Relationship Id="rId1" Type="http://schemas.openxmlformats.org/officeDocument/2006/relationships/hyperlink" Target="mailto:dokeke2004@gmail.com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drawing" Target="../drawings/drawing6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34443C-581C-4323-A7F4-02AC5A4A468C}">
  <sheetPr codeName="Sheet2"/>
  <dimension ref="A1:D101"/>
  <sheetViews>
    <sheetView workbookViewId="0"/>
  </sheetViews>
  <sheetFormatPr defaultRowHeight="15" x14ac:dyDescent="0.25"/>
  <sheetData>
    <row r="1" spans="1:4" x14ac:dyDescent="0.25">
      <c r="A1" t="s">
        <v>323</v>
      </c>
      <c r="B1" t="s">
        <v>109</v>
      </c>
      <c r="C1" t="s">
        <v>110</v>
      </c>
      <c r="D1" t="s">
        <v>2</v>
      </c>
    </row>
    <row r="2" spans="1:4" x14ac:dyDescent="0.25">
      <c r="A2" t="s">
        <v>324</v>
      </c>
      <c r="B2" t="s">
        <v>325</v>
      </c>
      <c r="C2">
        <v>19663</v>
      </c>
      <c r="D2">
        <v>12</v>
      </c>
    </row>
    <row r="3" spans="1:4" x14ac:dyDescent="0.25">
      <c r="A3" t="s">
        <v>324</v>
      </c>
      <c r="B3" t="s">
        <v>326</v>
      </c>
      <c r="C3">
        <v>47368</v>
      </c>
      <c r="D3">
        <v>23</v>
      </c>
    </row>
    <row r="4" spans="1:4" x14ac:dyDescent="0.25">
      <c r="A4" t="s">
        <v>324</v>
      </c>
      <c r="B4" t="s">
        <v>327</v>
      </c>
      <c r="C4">
        <v>53452</v>
      </c>
      <c r="D4">
        <v>34</v>
      </c>
    </row>
    <row r="5" spans="1:4" x14ac:dyDescent="0.25">
      <c r="A5" t="s">
        <v>324</v>
      </c>
      <c r="B5" t="s">
        <v>328</v>
      </c>
      <c r="C5">
        <v>79040</v>
      </c>
      <c r="D5">
        <v>23</v>
      </c>
    </row>
    <row r="6" spans="1:4" x14ac:dyDescent="0.25">
      <c r="A6" t="s">
        <v>324</v>
      </c>
      <c r="B6" t="s">
        <v>329</v>
      </c>
      <c r="C6">
        <v>19795</v>
      </c>
      <c r="D6">
        <v>4234</v>
      </c>
    </row>
    <row r="7" spans="1:4" x14ac:dyDescent="0.25">
      <c r="A7" t="s">
        <v>324</v>
      </c>
      <c r="B7" t="s">
        <v>330</v>
      </c>
      <c r="C7">
        <v>70055</v>
      </c>
      <c r="D7">
        <v>345</v>
      </c>
    </row>
    <row r="8" spans="1:4" x14ac:dyDescent="0.25">
      <c r="A8" t="s">
        <v>324</v>
      </c>
      <c r="B8" t="s">
        <v>331</v>
      </c>
      <c r="C8">
        <v>62273</v>
      </c>
      <c r="D8">
        <v>345</v>
      </c>
    </row>
    <row r="9" spans="1:4" x14ac:dyDescent="0.25">
      <c r="A9" t="s">
        <v>324</v>
      </c>
      <c r="B9" t="s">
        <v>332</v>
      </c>
      <c r="C9">
        <v>22297</v>
      </c>
      <c r="D9">
        <v>345</v>
      </c>
    </row>
    <row r="10" spans="1:4" x14ac:dyDescent="0.25">
      <c r="A10" t="s">
        <v>324</v>
      </c>
      <c r="B10" t="s">
        <v>333</v>
      </c>
      <c r="C10">
        <v>52582</v>
      </c>
      <c r="D10">
        <v>345</v>
      </c>
    </row>
    <row r="11" spans="1:4" x14ac:dyDescent="0.25">
      <c r="A11" t="s">
        <v>324</v>
      </c>
      <c r="B11" t="s">
        <v>334</v>
      </c>
      <c r="C11">
        <v>50673</v>
      </c>
      <c r="D11">
        <v>345</v>
      </c>
    </row>
    <row r="12" spans="1:4" x14ac:dyDescent="0.25">
      <c r="A12" t="s">
        <v>324</v>
      </c>
      <c r="B12" t="s">
        <v>335</v>
      </c>
      <c r="C12">
        <v>42420</v>
      </c>
      <c r="D12">
        <v>34</v>
      </c>
    </row>
    <row r="13" spans="1:4" x14ac:dyDescent="0.25">
      <c r="A13" t="s">
        <v>324</v>
      </c>
      <c r="B13" t="s">
        <v>336</v>
      </c>
      <c r="C13">
        <v>91974</v>
      </c>
      <c r="D13">
        <v>34</v>
      </c>
    </row>
    <row r="14" spans="1:4" x14ac:dyDescent="0.25">
      <c r="A14" t="s">
        <v>324</v>
      </c>
      <c r="B14" t="s">
        <v>337</v>
      </c>
      <c r="C14">
        <v>83485</v>
      </c>
      <c r="D14">
        <v>3</v>
      </c>
    </row>
    <row r="15" spans="1:4" x14ac:dyDescent="0.25">
      <c r="A15" t="s">
        <v>324</v>
      </c>
      <c r="B15" t="s">
        <v>338</v>
      </c>
      <c r="C15">
        <v>94501</v>
      </c>
      <c r="D15">
        <v>34</v>
      </c>
    </row>
    <row r="16" spans="1:4" x14ac:dyDescent="0.25">
      <c r="A16" t="s">
        <v>324</v>
      </c>
      <c r="B16" t="s">
        <v>339</v>
      </c>
      <c r="C16">
        <v>99173</v>
      </c>
      <c r="D16">
        <v>4</v>
      </c>
    </row>
    <row r="17" spans="1:4" x14ac:dyDescent="0.25">
      <c r="A17" t="s">
        <v>324</v>
      </c>
      <c r="B17" t="s">
        <v>340</v>
      </c>
      <c r="C17">
        <v>71651</v>
      </c>
      <c r="D17">
        <v>34</v>
      </c>
    </row>
    <row r="18" spans="1:4" x14ac:dyDescent="0.25">
      <c r="A18" t="s">
        <v>324</v>
      </c>
      <c r="B18" t="s">
        <v>341</v>
      </c>
      <c r="C18">
        <v>24389</v>
      </c>
      <c r="D18">
        <v>34</v>
      </c>
    </row>
    <row r="19" spans="1:4" x14ac:dyDescent="0.25">
      <c r="A19" t="s">
        <v>324</v>
      </c>
      <c r="B19" t="s">
        <v>342</v>
      </c>
      <c r="C19">
        <v>86632</v>
      </c>
      <c r="D19">
        <v>0</v>
      </c>
    </row>
    <row r="20" spans="1:4" x14ac:dyDescent="0.25">
      <c r="A20" t="s">
        <v>324</v>
      </c>
      <c r="B20" t="s">
        <v>343</v>
      </c>
      <c r="C20">
        <v>90833</v>
      </c>
      <c r="D20">
        <v>0</v>
      </c>
    </row>
    <row r="21" spans="1:4" x14ac:dyDescent="0.25">
      <c r="A21" t="s">
        <v>324</v>
      </c>
      <c r="B21" t="s">
        <v>344</v>
      </c>
      <c r="C21">
        <v>24538</v>
      </c>
      <c r="D21">
        <v>0</v>
      </c>
    </row>
    <row r="22" spans="1:4" x14ac:dyDescent="0.25">
      <c r="A22" t="s">
        <v>324</v>
      </c>
      <c r="B22" t="s">
        <v>345</v>
      </c>
      <c r="C22">
        <v>80201</v>
      </c>
      <c r="D22">
        <v>0</v>
      </c>
    </row>
    <row r="23" spans="1:4" x14ac:dyDescent="0.25">
      <c r="A23" t="s">
        <v>324</v>
      </c>
      <c r="B23" t="s">
        <v>346</v>
      </c>
      <c r="C23">
        <v>13670</v>
      </c>
      <c r="D23">
        <v>0</v>
      </c>
    </row>
    <row r="24" spans="1:4" x14ac:dyDescent="0.25">
      <c r="A24" t="s">
        <v>324</v>
      </c>
      <c r="B24" t="s">
        <v>347</v>
      </c>
      <c r="C24">
        <v>30795</v>
      </c>
      <c r="D24">
        <v>0</v>
      </c>
    </row>
    <row r="25" spans="1:4" x14ac:dyDescent="0.25">
      <c r="A25" t="s">
        <v>324</v>
      </c>
      <c r="B25" t="s">
        <v>348</v>
      </c>
      <c r="C25">
        <v>15727</v>
      </c>
      <c r="D25">
        <v>0</v>
      </c>
    </row>
    <row r="26" spans="1:4" x14ac:dyDescent="0.25">
      <c r="A26" t="s">
        <v>324</v>
      </c>
      <c r="B26" t="s">
        <v>349</v>
      </c>
      <c r="C26">
        <v>84314</v>
      </c>
      <c r="D26">
        <v>0</v>
      </c>
    </row>
    <row r="27" spans="1:4" x14ac:dyDescent="0.25">
      <c r="A27" t="s">
        <v>375</v>
      </c>
      <c r="B27" t="s">
        <v>376</v>
      </c>
      <c r="C27">
        <v>90254</v>
      </c>
      <c r="D27">
        <v>123</v>
      </c>
    </row>
    <row r="28" spans="1:4" x14ac:dyDescent="0.25">
      <c r="A28" t="s">
        <v>375</v>
      </c>
      <c r="B28" t="s">
        <v>377</v>
      </c>
      <c r="C28">
        <v>68959</v>
      </c>
      <c r="D28">
        <v>0</v>
      </c>
    </row>
    <row r="29" spans="1:4" x14ac:dyDescent="0.25">
      <c r="A29" t="s">
        <v>375</v>
      </c>
      <c r="B29" t="s">
        <v>378</v>
      </c>
      <c r="C29">
        <v>27924</v>
      </c>
      <c r="D29">
        <v>0</v>
      </c>
    </row>
    <row r="30" spans="1:4" x14ac:dyDescent="0.25">
      <c r="A30" t="s">
        <v>375</v>
      </c>
      <c r="B30" t="s">
        <v>379</v>
      </c>
      <c r="C30">
        <v>96394</v>
      </c>
      <c r="D30">
        <v>213</v>
      </c>
    </row>
    <row r="31" spans="1:4" x14ac:dyDescent="0.25">
      <c r="A31" t="s">
        <v>375</v>
      </c>
      <c r="B31" t="s">
        <v>380</v>
      </c>
      <c r="C31">
        <v>16822</v>
      </c>
      <c r="D31">
        <v>0</v>
      </c>
    </row>
    <row r="32" spans="1:4" x14ac:dyDescent="0.25">
      <c r="A32" t="s">
        <v>375</v>
      </c>
      <c r="B32" t="s">
        <v>381</v>
      </c>
      <c r="C32">
        <v>98451</v>
      </c>
      <c r="D32">
        <v>0</v>
      </c>
    </row>
    <row r="33" spans="1:4" x14ac:dyDescent="0.25">
      <c r="A33" t="s">
        <v>375</v>
      </c>
      <c r="B33" t="s">
        <v>382</v>
      </c>
      <c r="C33">
        <v>70341</v>
      </c>
      <c r="D33">
        <v>213</v>
      </c>
    </row>
    <row r="34" spans="1:4" x14ac:dyDescent="0.25">
      <c r="A34" t="s">
        <v>375</v>
      </c>
      <c r="B34" t="s">
        <v>383</v>
      </c>
      <c r="C34">
        <v>61735</v>
      </c>
      <c r="D34">
        <v>0</v>
      </c>
    </row>
    <row r="35" spans="1:4" x14ac:dyDescent="0.25">
      <c r="A35" t="s">
        <v>375</v>
      </c>
      <c r="B35" t="s">
        <v>384</v>
      </c>
      <c r="C35">
        <v>85086</v>
      </c>
      <c r="D35">
        <v>312</v>
      </c>
    </row>
    <row r="36" spans="1:4" x14ac:dyDescent="0.25">
      <c r="A36" t="s">
        <v>375</v>
      </c>
      <c r="B36" t="s">
        <v>385</v>
      </c>
      <c r="C36">
        <v>37943</v>
      </c>
      <c r="D36">
        <v>0</v>
      </c>
    </row>
    <row r="37" spans="1:4" x14ac:dyDescent="0.25">
      <c r="A37" t="s">
        <v>375</v>
      </c>
      <c r="B37" t="s">
        <v>386</v>
      </c>
      <c r="C37">
        <v>61059</v>
      </c>
      <c r="D37">
        <v>123</v>
      </c>
    </row>
    <row r="38" spans="1:4" x14ac:dyDescent="0.25">
      <c r="A38" t="s">
        <v>375</v>
      </c>
      <c r="B38" t="s">
        <v>387</v>
      </c>
      <c r="C38">
        <v>65377</v>
      </c>
      <c r="D38">
        <v>0</v>
      </c>
    </row>
    <row r="39" spans="1:4" x14ac:dyDescent="0.25">
      <c r="A39" t="s">
        <v>375</v>
      </c>
      <c r="B39" t="s">
        <v>388</v>
      </c>
      <c r="C39">
        <v>11654</v>
      </c>
      <c r="D39">
        <v>123</v>
      </c>
    </row>
    <row r="40" spans="1:4" x14ac:dyDescent="0.25">
      <c r="A40" t="s">
        <v>375</v>
      </c>
      <c r="B40" t="s">
        <v>389</v>
      </c>
      <c r="C40">
        <v>67434</v>
      </c>
      <c r="D40">
        <v>0</v>
      </c>
    </row>
    <row r="41" spans="1:4" x14ac:dyDescent="0.25">
      <c r="A41" t="s">
        <v>375</v>
      </c>
      <c r="B41" t="s">
        <v>390</v>
      </c>
      <c r="C41">
        <v>35975</v>
      </c>
      <c r="D41">
        <v>0</v>
      </c>
    </row>
    <row r="42" spans="1:4" x14ac:dyDescent="0.25">
      <c r="A42" t="s">
        <v>375</v>
      </c>
      <c r="B42" t="s">
        <v>391</v>
      </c>
      <c r="C42">
        <v>24020</v>
      </c>
      <c r="D42">
        <v>0</v>
      </c>
    </row>
    <row r="43" spans="1:4" x14ac:dyDescent="0.25">
      <c r="A43" t="s">
        <v>375</v>
      </c>
      <c r="B43" t="s">
        <v>392</v>
      </c>
      <c r="C43">
        <v>44024</v>
      </c>
      <c r="D43">
        <v>0</v>
      </c>
    </row>
    <row r="44" spans="1:4" x14ac:dyDescent="0.25">
      <c r="A44" t="s">
        <v>375</v>
      </c>
      <c r="B44" t="s">
        <v>393</v>
      </c>
      <c r="C44">
        <v>83531</v>
      </c>
      <c r="D44">
        <v>0</v>
      </c>
    </row>
    <row r="45" spans="1:4" x14ac:dyDescent="0.25">
      <c r="A45" t="s">
        <v>375</v>
      </c>
      <c r="B45" t="s">
        <v>394</v>
      </c>
      <c r="C45">
        <v>26694</v>
      </c>
      <c r="D45">
        <v>0</v>
      </c>
    </row>
    <row r="46" spans="1:4" x14ac:dyDescent="0.25">
      <c r="A46" t="s">
        <v>375</v>
      </c>
      <c r="B46" t="s">
        <v>395</v>
      </c>
      <c r="C46">
        <v>65966</v>
      </c>
      <c r="D46">
        <v>0</v>
      </c>
    </row>
    <row r="47" spans="1:4" x14ac:dyDescent="0.25">
      <c r="A47" t="s">
        <v>375</v>
      </c>
      <c r="B47" t="s">
        <v>396</v>
      </c>
      <c r="C47">
        <v>98893</v>
      </c>
      <c r="D47">
        <v>0</v>
      </c>
    </row>
    <row r="48" spans="1:4" x14ac:dyDescent="0.25">
      <c r="A48" t="s">
        <v>375</v>
      </c>
      <c r="B48" t="s">
        <v>397</v>
      </c>
      <c r="C48">
        <v>61325</v>
      </c>
      <c r="D48">
        <v>0</v>
      </c>
    </row>
    <row r="49" spans="1:4" x14ac:dyDescent="0.25">
      <c r="A49" t="s">
        <v>375</v>
      </c>
      <c r="B49" t="s">
        <v>398</v>
      </c>
      <c r="C49">
        <v>55715</v>
      </c>
      <c r="D49">
        <v>0</v>
      </c>
    </row>
    <row r="50" spans="1:4" x14ac:dyDescent="0.25">
      <c r="A50" t="s">
        <v>375</v>
      </c>
      <c r="B50" t="s">
        <v>399</v>
      </c>
      <c r="C50">
        <v>17911</v>
      </c>
      <c r="D50">
        <v>0</v>
      </c>
    </row>
    <row r="51" spans="1:4" x14ac:dyDescent="0.25">
      <c r="A51" t="s">
        <v>375</v>
      </c>
      <c r="B51" t="s">
        <v>400</v>
      </c>
      <c r="C51">
        <v>63763</v>
      </c>
      <c r="D51">
        <v>0</v>
      </c>
    </row>
    <row r="52" spans="1:4" x14ac:dyDescent="0.25">
      <c r="A52" t="s">
        <v>401</v>
      </c>
      <c r="B52" t="s">
        <v>351</v>
      </c>
      <c r="C52">
        <v>82406</v>
      </c>
      <c r="D52">
        <v>12</v>
      </c>
    </row>
    <row r="53" spans="1:4" x14ac:dyDescent="0.25">
      <c r="A53" t="s">
        <v>401</v>
      </c>
      <c r="B53" t="s">
        <v>352</v>
      </c>
      <c r="C53">
        <v>60758</v>
      </c>
      <c r="D53">
        <v>123</v>
      </c>
    </row>
    <row r="54" spans="1:4" x14ac:dyDescent="0.25">
      <c r="A54" t="s">
        <v>401</v>
      </c>
      <c r="B54" t="s">
        <v>353</v>
      </c>
      <c r="C54">
        <v>58614</v>
      </c>
      <c r="D54">
        <v>12</v>
      </c>
    </row>
    <row r="55" spans="1:4" x14ac:dyDescent="0.25">
      <c r="A55" t="s">
        <v>401</v>
      </c>
      <c r="B55" t="s">
        <v>354</v>
      </c>
      <c r="C55">
        <v>50125</v>
      </c>
      <c r="D55">
        <v>312</v>
      </c>
    </row>
    <row r="56" spans="1:4" x14ac:dyDescent="0.25">
      <c r="A56" t="s">
        <v>401</v>
      </c>
      <c r="B56" t="s">
        <v>355</v>
      </c>
      <c r="C56">
        <v>99444</v>
      </c>
      <c r="D56">
        <v>31</v>
      </c>
    </row>
    <row r="57" spans="1:4" x14ac:dyDescent="0.25">
      <c r="A57" t="s">
        <v>401</v>
      </c>
      <c r="B57" t="s">
        <v>356</v>
      </c>
      <c r="C57">
        <v>52418</v>
      </c>
      <c r="D57">
        <v>23</v>
      </c>
    </row>
    <row r="58" spans="1:4" x14ac:dyDescent="0.25">
      <c r="A58" t="s">
        <v>401</v>
      </c>
      <c r="B58" t="s">
        <v>357</v>
      </c>
      <c r="C58">
        <v>11501</v>
      </c>
      <c r="D58">
        <v>123</v>
      </c>
    </row>
    <row r="59" spans="1:4" x14ac:dyDescent="0.25">
      <c r="A59" t="s">
        <v>401</v>
      </c>
      <c r="B59" t="s">
        <v>358</v>
      </c>
      <c r="C59">
        <v>99239</v>
      </c>
      <c r="D59">
        <v>123</v>
      </c>
    </row>
    <row r="60" spans="1:4" x14ac:dyDescent="0.25">
      <c r="A60" t="s">
        <v>401</v>
      </c>
      <c r="B60" t="s">
        <v>359</v>
      </c>
      <c r="C60">
        <v>64784</v>
      </c>
      <c r="D60">
        <v>123</v>
      </c>
    </row>
    <row r="61" spans="1:4" x14ac:dyDescent="0.25">
      <c r="A61" t="s">
        <v>401</v>
      </c>
      <c r="B61" t="s">
        <v>360</v>
      </c>
      <c r="C61">
        <v>23985</v>
      </c>
      <c r="D61">
        <v>12</v>
      </c>
    </row>
    <row r="62" spans="1:4" x14ac:dyDescent="0.25">
      <c r="A62" t="s">
        <v>401</v>
      </c>
      <c r="B62" t="s">
        <v>361</v>
      </c>
      <c r="C62">
        <v>40992</v>
      </c>
      <c r="D62">
        <v>312</v>
      </c>
    </row>
    <row r="63" spans="1:4" x14ac:dyDescent="0.25">
      <c r="A63" t="s">
        <v>401</v>
      </c>
      <c r="B63" t="s">
        <v>362</v>
      </c>
      <c r="C63">
        <v>89958</v>
      </c>
      <c r="D63">
        <v>312</v>
      </c>
    </row>
    <row r="64" spans="1:4" x14ac:dyDescent="0.25">
      <c r="A64" t="s">
        <v>401</v>
      </c>
      <c r="B64" t="s">
        <v>363</v>
      </c>
      <c r="C64">
        <v>30125</v>
      </c>
      <c r="D64">
        <v>0</v>
      </c>
    </row>
    <row r="65" spans="1:4" x14ac:dyDescent="0.25">
      <c r="A65" t="s">
        <v>401</v>
      </c>
      <c r="B65" t="s">
        <v>364</v>
      </c>
      <c r="C65">
        <v>40552</v>
      </c>
      <c r="D65">
        <v>0</v>
      </c>
    </row>
    <row r="66" spans="1:4" x14ac:dyDescent="0.25">
      <c r="A66" t="s">
        <v>401</v>
      </c>
      <c r="B66" t="s">
        <v>365</v>
      </c>
      <c r="C66">
        <v>70484</v>
      </c>
      <c r="D66">
        <v>0</v>
      </c>
    </row>
    <row r="67" spans="1:4" x14ac:dyDescent="0.25">
      <c r="A67" t="s">
        <v>401</v>
      </c>
      <c r="B67" t="s">
        <v>366</v>
      </c>
      <c r="C67">
        <v>42374</v>
      </c>
      <c r="D67">
        <v>0</v>
      </c>
    </row>
    <row r="68" spans="1:4" x14ac:dyDescent="0.25">
      <c r="A68" t="s">
        <v>401</v>
      </c>
      <c r="B68" t="s">
        <v>367</v>
      </c>
      <c r="C68">
        <v>33768</v>
      </c>
      <c r="D68">
        <v>0</v>
      </c>
    </row>
    <row r="69" spans="1:4" x14ac:dyDescent="0.25">
      <c r="A69" t="s">
        <v>401</v>
      </c>
      <c r="B69" t="s">
        <v>368</v>
      </c>
      <c r="C69">
        <v>57120</v>
      </c>
      <c r="D69">
        <v>0</v>
      </c>
    </row>
    <row r="70" spans="1:4" x14ac:dyDescent="0.25">
      <c r="A70" t="s">
        <v>401</v>
      </c>
      <c r="B70" t="s">
        <v>369</v>
      </c>
      <c r="C70">
        <v>99976</v>
      </c>
      <c r="D70">
        <v>0</v>
      </c>
    </row>
    <row r="71" spans="1:4" x14ac:dyDescent="0.25">
      <c r="A71" t="s">
        <v>401</v>
      </c>
      <c r="B71" t="s">
        <v>370</v>
      </c>
      <c r="C71">
        <v>84790</v>
      </c>
      <c r="D71">
        <v>0</v>
      </c>
    </row>
    <row r="72" spans="1:4" x14ac:dyDescent="0.25">
      <c r="A72" t="s">
        <v>401</v>
      </c>
      <c r="B72" t="s">
        <v>371</v>
      </c>
      <c r="C72">
        <v>89108</v>
      </c>
      <c r="D72">
        <v>0</v>
      </c>
    </row>
    <row r="73" spans="1:4" x14ac:dyDescent="0.25">
      <c r="A73" t="s">
        <v>401</v>
      </c>
      <c r="B73" t="s">
        <v>372</v>
      </c>
      <c r="C73">
        <v>73687</v>
      </c>
      <c r="D73">
        <v>0</v>
      </c>
    </row>
    <row r="74" spans="1:4" x14ac:dyDescent="0.25">
      <c r="A74" t="s">
        <v>401</v>
      </c>
      <c r="B74" t="s">
        <v>360</v>
      </c>
      <c r="C74">
        <v>39467</v>
      </c>
      <c r="D74">
        <v>0</v>
      </c>
    </row>
    <row r="75" spans="1:4" x14ac:dyDescent="0.25">
      <c r="A75" t="s">
        <v>401</v>
      </c>
      <c r="B75" t="s">
        <v>373</v>
      </c>
      <c r="C75">
        <v>75508</v>
      </c>
      <c r="D75">
        <v>0</v>
      </c>
    </row>
    <row r="76" spans="1:4" x14ac:dyDescent="0.25">
      <c r="A76" t="s">
        <v>401</v>
      </c>
      <c r="B76" t="s">
        <v>374</v>
      </c>
      <c r="C76">
        <v>92751</v>
      </c>
      <c r="D76">
        <v>0</v>
      </c>
    </row>
    <row r="77" spans="1:4" x14ac:dyDescent="0.25">
      <c r="A77" t="s">
        <v>350</v>
      </c>
      <c r="B77" t="s">
        <v>351</v>
      </c>
      <c r="C77">
        <v>82406</v>
      </c>
      <c r="D77">
        <v>70</v>
      </c>
    </row>
    <row r="78" spans="1:4" x14ac:dyDescent="0.25">
      <c r="A78" t="s">
        <v>350</v>
      </c>
      <c r="B78" t="s">
        <v>352</v>
      </c>
      <c r="C78">
        <v>60758</v>
      </c>
      <c r="D78">
        <v>20</v>
      </c>
    </row>
    <row r="79" spans="1:4" x14ac:dyDescent="0.25">
      <c r="A79" t="s">
        <v>350</v>
      </c>
      <c r="B79" t="s">
        <v>353</v>
      </c>
      <c r="C79">
        <v>58614</v>
      </c>
      <c r="D79">
        <v>90</v>
      </c>
    </row>
    <row r="80" spans="1:4" x14ac:dyDescent="0.25">
      <c r="A80" t="s">
        <v>350</v>
      </c>
      <c r="B80" t="s">
        <v>354</v>
      </c>
      <c r="C80">
        <v>50125</v>
      </c>
      <c r="D80">
        <v>45</v>
      </c>
    </row>
    <row r="81" spans="1:4" x14ac:dyDescent="0.25">
      <c r="A81" t="s">
        <v>350</v>
      </c>
      <c r="B81" t="s">
        <v>355</v>
      </c>
      <c r="C81">
        <v>99444</v>
      </c>
      <c r="D81">
        <v>50</v>
      </c>
    </row>
    <row r="82" spans="1:4" x14ac:dyDescent="0.25">
      <c r="A82" t="s">
        <v>350</v>
      </c>
      <c r="B82" t="s">
        <v>356</v>
      </c>
      <c r="C82">
        <v>52418</v>
      </c>
      <c r="D82">
        <v>40</v>
      </c>
    </row>
    <row r="83" spans="1:4" x14ac:dyDescent="0.25">
      <c r="A83" t="s">
        <v>350</v>
      </c>
      <c r="B83" t="s">
        <v>357</v>
      </c>
      <c r="C83">
        <v>11501</v>
      </c>
      <c r="D83">
        <v>4</v>
      </c>
    </row>
    <row r="84" spans="1:4" x14ac:dyDescent="0.25">
      <c r="A84" t="s">
        <v>350</v>
      </c>
      <c r="B84" t="s">
        <v>358</v>
      </c>
      <c r="C84">
        <v>99239</v>
      </c>
      <c r="D84">
        <v>5</v>
      </c>
    </row>
    <row r="85" spans="1:4" x14ac:dyDescent="0.25">
      <c r="A85" t="s">
        <v>350</v>
      </c>
      <c r="B85" t="s">
        <v>359</v>
      </c>
      <c r="C85">
        <v>64784</v>
      </c>
      <c r="D85">
        <v>55</v>
      </c>
    </row>
    <row r="86" spans="1:4" x14ac:dyDescent="0.25">
      <c r="A86" t="s">
        <v>350</v>
      </c>
      <c r="B86" t="s">
        <v>360</v>
      </c>
      <c r="C86">
        <v>23985</v>
      </c>
      <c r="D86">
        <v>91</v>
      </c>
    </row>
    <row r="87" spans="1:4" x14ac:dyDescent="0.25">
      <c r="A87" t="s">
        <v>350</v>
      </c>
      <c r="B87" t="s">
        <v>361</v>
      </c>
      <c r="C87">
        <v>40992</v>
      </c>
      <c r="D87">
        <v>76</v>
      </c>
    </row>
    <row r="88" spans="1:4" x14ac:dyDescent="0.25">
      <c r="A88" t="s">
        <v>350</v>
      </c>
      <c r="B88" t="s">
        <v>362</v>
      </c>
      <c r="C88">
        <v>89958</v>
      </c>
      <c r="D88">
        <v>72</v>
      </c>
    </row>
    <row r="89" spans="1:4" x14ac:dyDescent="0.25">
      <c r="A89" t="s">
        <v>350</v>
      </c>
      <c r="B89" t="s">
        <v>363</v>
      </c>
      <c r="C89">
        <v>30125</v>
      </c>
      <c r="D89">
        <v>63</v>
      </c>
    </row>
    <row r="90" spans="1:4" x14ac:dyDescent="0.25">
      <c r="A90" t="s">
        <v>350</v>
      </c>
      <c r="B90" t="s">
        <v>364</v>
      </c>
      <c r="C90">
        <v>40552</v>
      </c>
      <c r="D90">
        <v>95</v>
      </c>
    </row>
    <row r="91" spans="1:4" x14ac:dyDescent="0.25">
      <c r="A91" t="s">
        <v>350</v>
      </c>
      <c r="B91" t="s">
        <v>365</v>
      </c>
      <c r="C91">
        <v>70484</v>
      </c>
      <c r="D91">
        <v>48</v>
      </c>
    </row>
    <row r="92" spans="1:4" x14ac:dyDescent="0.25">
      <c r="A92" t="s">
        <v>350</v>
      </c>
      <c r="B92" t="s">
        <v>366</v>
      </c>
      <c r="C92">
        <v>42374</v>
      </c>
      <c r="D92">
        <v>13</v>
      </c>
    </row>
    <row r="93" spans="1:4" x14ac:dyDescent="0.25">
      <c r="A93" t="s">
        <v>350</v>
      </c>
      <c r="B93" t="s">
        <v>367</v>
      </c>
      <c r="C93">
        <v>33768</v>
      </c>
      <c r="D93">
        <v>97</v>
      </c>
    </row>
    <row r="94" spans="1:4" x14ac:dyDescent="0.25">
      <c r="A94" t="s">
        <v>350</v>
      </c>
      <c r="B94" t="s">
        <v>368</v>
      </c>
      <c r="C94">
        <v>57120</v>
      </c>
      <c r="D94">
        <v>98</v>
      </c>
    </row>
    <row r="95" spans="1:4" x14ac:dyDescent="0.25">
      <c r="A95" t="s">
        <v>350</v>
      </c>
      <c r="B95" t="s">
        <v>369</v>
      </c>
      <c r="C95">
        <v>99976</v>
      </c>
      <c r="D95">
        <v>18</v>
      </c>
    </row>
    <row r="96" spans="1:4" x14ac:dyDescent="0.25">
      <c r="A96" t="s">
        <v>350</v>
      </c>
      <c r="B96" t="s">
        <v>370</v>
      </c>
      <c r="C96">
        <v>84790</v>
      </c>
      <c r="D96">
        <v>53</v>
      </c>
    </row>
    <row r="97" spans="1:4" x14ac:dyDescent="0.25">
      <c r="A97" t="s">
        <v>350</v>
      </c>
      <c r="B97" t="s">
        <v>371</v>
      </c>
      <c r="C97">
        <v>89108</v>
      </c>
      <c r="D97">
        <v>8</v>
      </c>
    </row>
    <row r="98" spans="1:4" x14ac:dyDescent="0.25">
      <c r="A98" t="s">
        <v>350</v>
      </c>
      <c r="B98" t="s">
        <v>372</v>
      </c>
      <c r="C98">
        <v>73687</v>
      </c>
      <c r="D98">
        <v>2</v>
      </c>
    </row>
    <row r="99" spans="1:4" x14ac:dyDescent="0.25">
      <c r="A99" t="s">
        <v>350</v>
      </c>
      <c r="B99" t="s">
        <v>360</v>
      </c>
      <c r="C99">
        <v>39467</v>
      </c>
      <c r="D99">
        <v>89</v>
      </c>
    </row>
    <row r="100" spans="1:4" x14ac:dyDescent="0.25">
      <c r="A100" t="s">
        <v>350</v>
      </c>
      <c r="B100" t="s">
        <v>373</v>
      </c>
      <c r="C100">
        <v>75508</v>
      </c>
      <c r="D100">
        <v>17</v>
      </c>
    </row>
    <row r="101" spans="1:4" x14ac:dyDescent="0.25">
      <c r="A101" t="s">
        <v>350</v>
      </c>
      <c r="B101" t="s">
        <v>374</v>
      </c>
      <c r="C101">
        <v>92751</v>
      </c>
      <c r="D101">
        <v>42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A43476-BE2E-4ACD-AB98-03D453F6279F}">
  <sheetPr codeName="Sheet14"/>
  <dimension ref="A2:AB34"/>
  <sheetViews>
    <sheetView showGridLines="0" tabSelected="1" zoomScale="111" zoomScaleNormal="111" workbookViewId="0">
      <selection activeCell="E111" sqref="E111"/>
    </sheetView>
  </sheetViews>
  <sheetFormatPr defaultRowHeight="15" x14ac:dyDescent="0.25"/>
  <cols>
    <col min="1" max="1" width="14.28515625" style="66" customWidth="1"/>
    <col min="2" max="6" width="9.140625" style="66" customWidth="1"/>
    <col min="7" max="7" width="17.140625" style="66" customWidth="1"/>
    <col min="8" max="11" width="9.140625" style="66"/>
    <col min="12" max="12" width="6.42578125" style="66" customWidth="1"/>
    <col min="13" max="13" width="12.5703125" style="66" customWidth="1"/>
    <col min="14" max="17" width="9.140625" style="66"/>
    <col min="18" max="18" width="5" style="66" customWidth="1"/>
    <col min="19" max="16384" width="9.140625" style="66"/>
  </cols>
  <sheetData>
    <row r="2" spans="1:28" ht="22.5" customHeight="1" x14ac:dyDescent="0.25"/>
    <row r="3" spans="1:28" s="69" customFormat="1" ht="72" customHeight="1" x14ac:dyDescent="0.9">
      <c r="A3" s="67" t="s">
        <v>403</v>
      </c>
      <c r="B3" s="67"/>
      <c r="C3" s="67"/>
      <c r="D3" s="67"/>
      <c r="E3" s="67"/>
      <c r="F3" s="67"/>
      <c r="G3" s="67"/>
      <c r="H3" s="68"/>
      <c r="I3" s="68"/>
      <c r="J3" s="68"/>
      <c r="K3" s="68"/>
      <c r="L3" s="68"/>
      <c r="M3" s="68"/>
      <c r="N3" s="68"/>
    </row>
    <row r="5" spans="1:28" ht="30" x14ac:dyDescent="0.85">
      <c r="D5" s="70"/>
      <c r="E5" s="70"/>
      <c r="F5" s="71"/>
      <c r="G5" s="72"/>
    </row>
    <row r="8" spans="1:28" ht="24" thickBot="1" x14ac:dyDescent="0.4">
      <c r="A8" s="92" t="s">
        <v>404</v>
      </c>
      <c r="B8" s="92"/>
      <c r="C8" s="92"/>
      <c r="D8" s="92"/>
      <c r="E8" s="92"/>
      <c r="F8" s="92"/>
      <c r="G8" s="92"/>
      <c r="H8" s="92"/>
      <c r="I8" s="92"/>
      <c r="J8" s="92"/>
      <c r="K8" s="92"/>
      <c r="L8" s="92"/>
      <c r="Q8" s="92" t="s">
        <v>407</v>
      </c>
      <c r="R8" s="92"/>
      <c r="S8" s="92"/>
      <c r="T8" s="92"/>
      <c r="U8" s="92"/>
      <c r="V8" s="92"/>
      <c r="W8" s="92"/>
      <c r="X8" s="92"/>
      <c r="Y8" s="92"/>
      <c r="Z8" s="92"/>
      <c r="AA8" s="92"/>
      <c r="AB8" s="92"/>
    </row>
    <row r="9" spans="1:28" x14ac:dyDescent="0.25">
      <c r="A9" s="94" t="s">
        <v>466</v>
      </c>
      <c r="B9" s="95"/>
      <c r="C9" s="95"/>
      <c r="D9" s="95"/>
      <c r="E9" s="95"/>
      <c r="F9" s="95"/>
      <c r="G9" s="95"/>
      <c r="H9" s="95"/>
      <c r="I9" s="95"/>
      <c r="J9" s="95"/>
      <c r="K9" s="95"/>
      <c r="L9" s="96"/>
      <c r="Q9" s="73" t="s">
        <v>408</v>
      </c>
      <c r="R9" s="66" t="s">
        <v>312</v>
      </c>
    </row>
    <row r="10" spans="1:28" x14ac:dyDescent="0.25">
      <c r="A10" s="97"/>
      <c r="B10" s="98"/>
      <c r="C10" s="98"/>
      <c r="D10" s="98"/>
      <c r="E10" s="98"/>
      <c r="F10" s="98"/>
      <c r="G10" s="98"/>
      <c r="H10" s="98"/>
      <c r="I10" s="98"/>
      <c r="J10" s="98"/>
      <c r="K10" s="98"/>
      <c r="L10" s="99"/>
      <c r="Q10" s="73" t="s">
        <v>409</v>
      </c>
      <c r="R10" s="110" t="str">
        <f>HYPERLINK("mailto:dokeke2004@gmail.com","Daryl's Email")</f>
        <v>Daryl's Email</v>
      </c>
      <c r="S10" s="110"/>
    </row>
    <row r="11" spans="1:28" x14ac:dyDescent="0.25">
      <c r="A11" s="97"/>
      <c r="B11" s="98"/>
      <c r="C11" s="98"/>
      <c r="D11" s="98"/>
      <c r="E11" s="98"/>
      <c r="F11" s="98"/>
      <c r="G11" s="98"/>
      <c r="H11" s="98"/>
      <c r="I11" s="98"/>
      <c r="J11" s="98"/>
      <c r="K11" s="98"/>
      <c r="L11" s="99"/>
      <c r="Q11" s="73" t="s">
        <v>459</v>
      </c>
      <c r="S11" s="109" t="str">
        <f>HYPERLINK("https://github.com/DarylOkeke/pharmacy_inventory_app.git","Daryl's Github Repository")</f>
        <v>Daryl's Github Repository</v>
      </c>
      <c r="T11" s="109"/>
      <c r="U11" s="109"/>
    </row>
    <row r="12" spans="1:28" x14ac:dyDescent="0.25">
      <c r="A12" s="97"/>
      <c r="B12" s="98"/>
      <c r="C12" s="98"/>
      <c r="D12" s="98"/>
      <c r="E12" s="98"/>
      <c r="F12" s="98"/>
      <c r="G12" s="98"/>
      <c r="H12" s="98"/>
      <c r="I12" s="98"/>
      <c r="J12" s="98"/>
      <c r="K12" s="98"/>
      <c r="L12" s="99"/>
      <c r="Q12" s="74"/>
      <c r="R12" s="74"/>
      <c r="S12" s="74"/>
      <c r="T12" s="74"/>
      <c r="U12" s="74"/>
      <c r="V12" s="74"/>
      <c r="W12" s="74"/>
      <c r="X12" s="74"/>
      <c r="Y12" s="74"/>
      <c r="Z12" s="74"/>
      <c r="AA12" s="74"/>
      <c r="AB12" s="74"/>
    </row>
    <row r="13" spans="1:28" x14ac:dyDescent="0.25">
      <c r="A13" s="97"/>
      <c r="B13" s="98"/>
      <c r="C13" s="98"/>
      <c r="D13" s="98"/>
      <c r="E13" s="98"/>
      <c r="F13" s="98"/>
      <c r="G13" s="98"/>
      <c r="H13" s="98"/>
      <c r="I13" s="98"/>
      <c r="J13" s="98"/>
      <c r="K13" s="98"/>
      <c r="L13" s="99"/>
    </row>
    <row r="14" spans="1:28" x14ac:dyDescent="0.25">
      <c r="A14" s="97"/>
      <c r="B14" s="98"/>
      <c r="C14" s="98"/>
      <c r="D14" s="98"/>
      <c r="E14" s="98"/>
      <c r="F14" s="98"/>
      <c r="G14" s="98"/>
      <c r="H14" s="98"/>
      <c r="I14" s="98"/>
      <c r="J14" s="98"/>
      <c r="K14" s="98"/>
      <c r="L14" s="99"/>
    </row>
    <row r="15" spans="1:28" x14ac:dyDescent="0.25">
      <c r="A15" s="75" t="s">
        <v>414</v>
      </c>
      <c r="L15" s="76"/>
    </row>
    <row r="16" spans="1:28" x14ac:dyDescent="0.25">
      <c r="A16" s="75"/>
      <c r="L16" s="76"/>
    </row>
    <row r="17" spans="1:21" ht="24" thickBot="1" x14ac:dyDescent="0.4">
      <c r="A17" s="106" t="s">
        <v>405</v>
      </c>
      <c r="B17" s="107"/>
      <c r="C17" s="107"/>
      <c r="D17" s="107"/>
      <c r="E17" s="107"/>
      <c r="F17" s="107"/>
      <c r="G17" s="107"/>
      <c r="H17" s="107"/>
      <c r="I17" s="107"/>
      <c r="J17" s="107"/>
      <c r="K17" s="107"/>
      <c r="L17" s="108"/>
    </row>
    <row r="18" spans="1:21" ht="18.75" x14ac:dyDescent="0.3">
      <c r="A18" s="100" t="s">
        <v>467</v>
      </c>
      <c r="B18" s="101"/>
      <c r="C18" s="101"/>
      <c r="D18" s="101"/>
      <c r="E18" s="101"/>
      <c r="F18" s="101"/>
      <c r="G18" s="101"/>
      <c r="H18" s="101"/>
      <c r="I18" s="101"/>
      <c r="J18" s="101"/>
      <c r="K18" s="101"/>
      <c r="L18" s="102"/>
      <c r="M18" s="93" t="s">
        <v>410</v>
      </c>
      <c r="N18" s="93"/>
      <c r="O18" s="93"/>
      <c r="P18" s="93"/>
    </row>
    <row r="19" spans="1:21" x14ac:dyDescent="0.25">
      <c r="A19" s="103"/>
      <c r="B19" s="104"/>
      <c r="C19" s="104"/>
      <c r="D19" s="104"/>
      <c r="E19" s="104"/>
      <c r="F19" s="104"/>
      <c r="G19" s="104"/>
      <c r="H19" s="104"/>
      <c r="I19" s="104"/>
      <c r="J19" s="104"/>
      <c r="K19" s="104"/>
      <c r="L19" s="105"/>
    </row>
    <row r="20" spans="1:21" x14ac:dyDescent="0.25">
      <c r="A20" s="103"/>
      <c r="B20" s="104"/>
      <c r="C20" s="104"/>
      <c r="D20" s="104"/>
      <c r="E20" s="104"/>
      <c r="F20" s="104"/>
      <c r="G20" s="104"/>
      <c r="H20" s="104"/>
      <c r="I20" s="104"/>
      <c r="J20" s="104"/>
      <c r="K20" s="104"/>
      <c r="L20" s="105"/>
    </row>
    <row r="21" spans="1:21" x14ac:dyDescent="0.25">
      <c r="A21" s="103"/>
      <c r="B21" s="104"/>
      <c r="C21" s="104"/>
      <c r="D21" s="104"/>
      <c r="E21" s="104"/>
      <c r="F21" s="104"/>
      <c r="G21" s="104"/>
      <c r="H21" s="104"/>
      <c r="I21" s="104"/>
      <c r="J21" s="104"/>
      <c r="K21" s="104"/>
      <c r="L21" s="105"/>
    </row>
    <row r="22" spans="1:21" x14ac:dyDescent="0.25">
      <c r="A22" s="103"/>
      <c r="B22" s="104"/>
      <c r="C22" s="104"/>
      <c r="D22" s="104"/>
      <c r="E22" s="104"/>
      <c r="F22" s="104"/>
      <c r="G22" s="104"/>
      <c r="H22" s="104"/>
      <c r="I22" s="104"/>
      <c r="J22" s="104"/>
      <c r="K22" s="104"/>
      <c r="L22" s="105"/>
    </row>
    <row r="23" spans="1:21" ht="151.5" customHeight="1" x14ac:dyDescent="0.25">
      <c r="A23" s="103"/>
      <c r="B23" s="104"/>
      <c r="C23" s="104"/>
      <c r="D23" s="104"/>
      <c r="E23" s="104"/>
      <c r="F23" s="104"/>
      <c r="G23" s="104"/>
      <c r="H23" s="104"/>
      <c r="I23" s="104"/>
      <c r="J23" s="104"/>
      <c r="K23" s="104"/>
      <c r="L23" s="105"/>
    </row>
    <row r="24" spans="1:21" ht="2.25" hidden="1" customHeight="1" x14ac:dyDescent="0.25">
      <c r="A24" s="75"/>
      <c r="L24" s="76"/>
    </row>
    <row r="25" spans="1:21" ht="16.5" customHeight="1" x14ac:dyDescent="0.25">
      <c r="A25" s="77" t="s">
        <v>413</v>
      </c>
      <c r="L25" s="76"/>
    </row>
    <row r="26" spans="1:21" ht="15.75" x14ac:dyDescent="0.25">
      <c r="A26" s="75" t="s">
        <v>469</v>
      </c>
      <c r="L26" s="76"/>
      <c r="T26" s="78"/>
      <c r="U26" s="78"/>
    </row>
    <row r="27" spans="1:21" ht="19.5" customHeight="1" thickBot="1" x14ac:dyDescent="0.3">
      <c r="A27" s="79" t="s">
        <v>468</v>
      </c>
      <c r="B27" s="80"/>
      <c r="C27" s="80"/>
      <c r="D27" s="80"/>
      <c r="E27" s="80"/>
      <c r="F27" s="80"/>
      <c r="G27" s="80"/>
      <c r="H27" s="80"/>
      <c r="I27" s="80"/>
      <c r="J27" s="80"/>
      <c r="K27" s="80"/>
      <c r="L27" s="81"/>
      <c r="T27" s="78"/>
      <c r="U27" s="78"/>
    </row>
    <row r="28" spans="1:21" ht="15.75" x14ac:dyDescent="0.25">
      <c r="T28" s="78"/>
      <c r="U28" s="78"/>
    </row>
    <row r="29" spans="1:21" ht="27" thickBot="1" x14ac:dyDescent="0.45">
      <c r="A29" s="90" t="s">
        <v>406</v>
      </c>
      <c r="B29" s="91"/>
      <c r="C29" s="91"/>
      <c r="D29" s="91"/>
      <c r="E29" s="91"/>
      <c r="F29" s="91"/>
      <c r="G29" s="91"/>
      <c r="H29" s="91"/>
      <c r="I29" s="91"/>
      <c r="J29" s="91"/>
      <c r="K29" s="91"/>
      <c r="L29" s="91"/>
      <c r="M29" s="80"/>
      <c r="T29" s="78"/>
      <c r="U29" s="78"/>
    </row>
    <row r="30" spans="1:21" ht="15.75" x14ac:dyDescent="0.25">
      <c r="A30" s="82" t="s">
        <v>411</v>
      </c>
      <c r="B30" s="83"/>
      <c r="C30" s="83"/>
      <c r="D30" s="83"/>
      <c r="E30" s="83"/>
      <c r="F30" s="83"/>
      <c r="G30" s="83"/>
      <c r="H30" s="83"/>
      <c r="I30" s="83"/>
      <c r="J30" s="83"/>
      <c r="K30" s="83"/>
      <c r="L30" s="83"/>
      <c r="M30" s="83"/>
      <c r="N30" s="83"/>
      <c r="O30" s="83"/>
      <c r="P30" s="83"/>
      <c r="Q30" s="83"/>
      <c r="R30" s="83"/>
      <c r="S30" s="84"/>
      <c r="T30" s="78"/>
      <c r="U30" s="78"/>
    </row>
    <row r="31" spans="1:21" ht="15.75" x14ac:dyDescent="0.25">
      <c r="A31" s="85" t="s">
        <v>6</v>
      </c>
      <c r="B31" s="78"/>
      <c r="C31" s="78"/>
      <c r="D31" s="78"/>
      <c r="E31" s="78"/>
      <c r="F31" s="78"/>
      <c r="G31" s="78"/>
      <c r="H31" s="78"/>
      <c r="I31" s="78"/>
      <c r="J31" s="78"/>
      <c r="K31" s="78"/>
      <c r="L31" s="78"/>
      <c r="M31" s="78"/>
      <c r="N31" s="78"/>
      <c r="O31" s="78"/>
      <c r="P31" s="78"/>
      <c r="Q31" s="78"/>
      <c r="R31" s="78"/>
      <c r="S31" s="86"/>
      <c r="U31" s="78"/>
    </row>
    <row r="32" spans="1:21" ht="15.75" x14ac:dyDescent="0.25">
      <c r="A32" s="85" t="s">
        <v>470</v>
      </c>
      <c r="B32" s="78"/>
      <c r="C32" s="78"/>
      <c r="D32" s="78"/>
      <c r="E32" s="78"/>
      <c r="F32" s="78"/>
      <c r="G32" s="78"/>
      <c r="H32" s="78"/>
      <c r="I32" s="78"/>
      <c r="J32" s="78"/>
      <c r="K32" s="78"/>
      <c r="L32" s="78"/>
      <c r="M32" s="78"/>
      <c r="N32" s="78"/>
      <c r="O32" s="78"/>
      <c r="P32" s="78"/>
      <c r="Q32" s="78"/>
      <c r="R32" s="78"/>
      <c r="S32" s="86"/>
      <c r="U32" s="78"/>
    </row>
    <row r="33" spans="1:19" ht="15.75" x14ac:dyDescent="0.25">
      <c r="A33" s="85" t="s">
        <v>7</v>
      </c>
      <c r="B33" s="78"/>
      <c r="C33" s="78"/>
      <c r="D33" s="78"/>
      <c r="E33" s="78"/>
      <c r="F33" s="78"/>
      <c r="G33" s="78"/>
      <c r="H33" s="78"/>
      <c r="I33" s="78"/>
      <c r="J33" s="78"/>
      <c r="K33" s="78"/>
      <c r="L33" s="78"/>
      <c r="M33" s="78"/>
      <c r="N33" s="78"/>
      <c r="O33" s="78"/>
      <c r="P33" s="78"/>
      <c r="Q33" s="78"/>
      <c r="R33" s="78"/>
      <c r="S33" s="86"/>
    </row>
    <row r="34" spans="1:19" ht="16.5" thickBot="1" x14ac:dyDescent="0.3">
      <c r="A34" s="87" t="s">
        <v>8</v>
      </c>
      <c r="B34" s="88"/>
      <c r="C34" s="88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  <c r="O34" s="88"/>
      <c r="P34" s="88"/>
      <c r="Q34" s="88"/>
      <c r="R34" s="88"/>
      <c r="S34" s="89"/>
    </row>
  </sheetData>
  <sheetProtection sheet="1" objects="1" scenarios="1" selectLockedCells="1" selectUnlockedCells="1"/>
  <mergeCells count="9">
    <mergeCell ref="A29:L29"/>
    <mergeCell ref="Q8:AB8"/>
    <mergeCell ref="M18:P18"/>
    <mergeCell ref="A8:L8"/>
    <mergeCell ref="A9:L14"/>
    <mergeCell ref="A18:L23"/>
    <mergeCell ref="A17:L17"/>
    <mergeCell ref="S11:U11"/>
    <mergeCell ref="R10:S10"/>
  </mergeCells>
  <hyperlinks>
    <hyperlink ref="R10" r:id="rId1" display="dokeke2004@gmail.com" xr:uid="{C1B53351-9D3A-4E35-9D9C-3561413FEAAB}"/>
    <hyperlink ref="S11" r:id="rId2" display="https://github.com/DarylOkeke/pharmacy_inventory_app.git" xr:uid="{A97345F2-F3D8-47B1-91AB-3AB669CDD233}"/>
  </hyperlinks>
  <pageMargins left="0.7" right="0.7" top="0.75" bottom="0.75" header="0.3" footer="0.3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BFDF1D-A756-41E3-8E0F-B51260E7332A}">
  <sheetPr codeName="Sheet6"/>
  <dimension ref="B3:S53"/>
  <sheetViews>
    <sheetView showGridLines="0" topLeftCell="A3" zoomScaleNormal="100" workbookViewId="0">
      <selection activeCell="O163" sqref="O163"/>
    </sheetView>
  </sheetViews>
  <sheetFormatPr defaultColWidth="8.85546875" defaultRowHeight="15" x14ac:dyDescent="0.25"/>
  <cols>
    <col min="1" max="1" width="5" customWidth="1"/>
    <col min="2" max="2" width="18.28515625" customWidth="1"/>
    <col min="5" max="5" width="9.140625" customWidth="1"/>
    <col min="6" max="6" width="9.5703125" customWidth="1"/>
    <col min="15" max="15" width="40.140625" customWidth="1"/>
    <col min="16" max="16" width="13.140625" customWidth="1"/>
    <col min="17" max="17" width="19.140625" customWidth="1"/>
  </cols>
  <sheetData>
    <row r="3" spans="2:19" s="39" customFormat="1" ht="75.75" customHeight="1" x14ac:dyDescent="0.25">
      <c r="B3" s="114" t="s">
        <v>415</v>
      </c>
      <c r="C3" s="114"/>
      <c r="D3" s="114"/>
      <c r="E3" s="114"/>
      <c r="F3" s="114"/>
      <c r="G3" s="114"/>
      <c r="H3" s="114"/>
      <c r="I3" s="114"/>
      <c r="J3" s="114"/>
      <c r="K3" s="114"/>
      <c r="L3" s="114"/>
      <c r="M3" s="114"/>
      <c r="N3" s="114"/>
      <c r="O3" s="114"/>
    </row>
    <row r="4" spans="2:19" ht="9.75" customHeight="1" x14ac:dyDescent="0.85">
      <c r="D4" s="41"/>
      <c r="E4" s="40"/>
      <c r="F4" s="40"/>
    </row>
    <row r="5" spans="2:19" ht="30" x14ac:dyDescent="0.85">
      <c r="D5" s="41"/>
      <c r="E5" s="40"/>
      <c r="F5" s="40"/>
    </row>
    <row r="6" spans="2:19" ht="23.25" x14ac:dyDescent="0.35">
      <c r="I6" s="63" t="s">
        <v>458</v>
      </c>
      <c r="J6" s="62"/>
      <c r="K6" s="61"/>
      <c r="L6" s="61"/>
      <c r="M6" s="61"/>
    </row>
    <row r="9" spans="2:19" ht="16.5" customHeight="1" x14ac:dyDescent="0.4">
      <c r="I9" s="64"/>
    </row>
    <row r="10" spans="2:19" ht="18.75" customHeight="1" x14ac:dyDescent="0.25"/>
    <row r="11" spans="2:19" ht="15" customHeight="1" x14ac:dyDescent="0.25"/>
    <row r="12" spans="2:19" ht="18.75" customHeight="1" x14ac:dyDescent="0.25"/>
    <row r="13" spans="2:19" ht="27" thickBot="1" x14ac:dyDescent="0.45">
      <c r="B13" s="115" t="s">
        <v>416</v>
      </c>
      <c r="C13" s="115"/>
      <c r="D13" s="115"/>
      <c r="E13" s="115"/>
      <c r="F13" s="115"/>
      <c r="G13" s="115"/>
      <c r="H13" s="115"/>
      <c r="I13" s="115"/>
      <c r="J13" s="115"/>
      <c r="K13" s="115"/>
      <c r="L13" s="115"/>
      <c r="M13" s="115"/>
      <c r="N13" s="115"/>
      <c r="O13" s="115"/>
      <c r="P13" s="44"/>
      <c r="Q13" s="44"/>
      <c r="R13" s="44"/>
      <c r="S13" s="44"/>
    </row>
    <row r="15" spans="2:19" ht="23.25" x14ac:dyDescent="0.35">
      <c r="H15" s="65" t="s">
        <v>460</v>
      </c>
    </row>
    <row r="18" spans="2:17" ht="7.5" customHeight="1" thickBot="1" x14ac:dyDescent="0.3"/>
    <row r="19" spans="2:17" ht="15" customHeight="1" x14ac:dyDescent="0.25">
      <c r="Q19" s="111" t="s">
        <v>462</v>
      </c>
    </row>
    <row r="20" spans="2:17" ht="1.5" customHeight="1" thickBot="1" x14ac:dyDescent="0.3">
      <c r="Q20" s="112"/>
    </row>
    <row r="21" spans="2:17" ht="23.25" customHeight="1" x14ac:dyDescent="0.25">
      <c r="B21" s="111" t="s">
        <v>457</v>
      </c>
      <c r="Q21" s="112"/>
    </row>
    <row r="22" spans="2:17" ht="25.5" customHeight="1" thickBot="1" x14ac:dyDescent="0.3">
      <c r="B22" s="112"/>
      <c r="Q22" s="113"/>
    </row>
    <row r="23" spans="2:17" ht="52.5" customHeight="1" thickBot="1" x14ac:dyDescent="0.3">
      <c r="B23" s="113"/>
    </row>
    <row r="28" spans="2:17" ht="15.75" thickBot="1" x14ac:dyDescent="0.3"/>
    <row r="29" spans="2:17" ht="23.25" x14ac:dyDescent="0.35">
      <c r="L29" s="61"/>
      <c r="O29" s="111" t="s">
        <v>461</v>
      </c>
    </row>
    <row r="30" spans="2:17" ht="11.25" customHeight="1" thickBot="1" x14ac:dyDescent="0.3">
      <c r="O30" s="112"/>
    </row>
    <row r="31" spans="2:17" ht="15.75" thickBot="1" x14ac:dyDescent="0.3">
      <c r="B31" s="111" t="s">
        <v>463</v>
      </c>
      <c r="O31" s="113"/>
    </row>
    <row r="32" spans="2:17" x14ac:dyDescent="0.25">
      <c r="B32" s="112"/>
    </row>
    <row r="33" spans="2:15" ht="26.25" customHeight="1" thickBot="1" x14ac:dyDescent="0.3">
      <c r="B33" s="113"/>
    </row>
    <row r="37" spans="2:15" ht="27" thickBot="1" x14ac:dyDescent="0.45">
      <c r="B37" s="115" t="s">
        <v>465</v>
      </c>
      <c r="C37" s="115"/>
      <c r="D37" s="115"/>
      <c r="E37" s="115"/>
      <c r="F37" s="115"/>
      <c r="G37" s="115"/>
      <c r="H37" s="115"/>
      <c r="I37" s="115"/>
      <c r="J37" s="115"/>
      <c r="K37" s="115"/>
      <c r="L37" s="115"/>
      <c r="M37" s="115"/>
      <c r="N37" s="115"/>
      <c r="O37" s="115"/>
    </row>
    <row r="40" spans="2:15" ht="15" customHeight="1" thickBot="1" x14ac:dyDescent="0.3"/>
    <row r="41" spans="2:15" ht="25.5" customHeight="1" x14ac:dyDescent="0.25">
      <c r="O41" s="111" t="s">
        <v>464</v>
      </c>
    </row>
    <row r="42" spans="2:15" x14ac:dyDescent="0.25">
      <c r="O42" s="112"/>
    </row>
    <row r="43" spans="2:15" ht="15.75" thickBot="1" x14ac:dyDescent="0.3">
      <c r="O43" s="113"/>
    </row>
    <row r="53" ht="22.5" customHeight="1" x14ac:dyDescent="0.25"/>
  </sheetData>
  <sheetProtection algorithmName="SHA-512" hashValue="EdK1AXlCiDy6Ah+UmtlYHkD02iro2jlVt1eOAj6JRq8xYQ0VCqsSCZG88iBvlgAERA1+V0yknsADBGtRucNiYw==" saltValue="BW31vHzexhDHx7NnXkQ8Cg==" spinCount="100000" sheet="1" objects="1" scenarios="1" selectLockedCells="1" selectUnlockedCells="1"/>
  <mergeCells count="8">
    <mergeCell ref="Q19:Q22"/>
    <mergeCell ref="B3:O3"/>
    <mergeCell ref="B13:O13"/>
    <mergeCell ref="O41:O43"/>
    <mergeCell ref="B37:O37"/>
    <mergeCell ref="B21:B23"/>
    <mergeCell ref="B31:B33"/>
    <mergeCell ref="O29:O31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74E776-5E8D-D741-A351-F8159C780FEE}">
  <sheetPr codeName="Sheet3"/>
  <dimension ref="A1:N1458"/>
  <sheetViews>
    <sheetView showGridLines="0" workbookViewId="0">
      <selection activeCell="F17" sqref="F17"/>
    </sheetView>
  </sheetViews>
  <sheetFormatPr defaultColWidth="8.85546875" defaultRowHeight="15" x14ac:dyDescent="0.25"/>
  <cols>
    <col min="1" max="1" width="53.5703125" bestFit="1" customWidth="1"/>
    <col min="2" max="2" width="18.42578125" customWidth="1"/>
    <col min="3" max="3" width="16.7109375" customWidth="1"/>
    <col min="4" max="4" width="40.7109375" customWidth="1"/>
    <col min="5" max="5" width="25.28515625" customWidth="1"/>
    <col min="6" max="6" width="20.7109375" customWidth="1"/>
    <col min="7" max="7" width="15.140625" customWidth="1"/>
    <col min="8" max="8" width="10.42578125" customWidth="1"/>
    <col min="9" max="9" width="9.140625" customWidth="1"/>
    <col min="10" max="10" width="3.28515625" customWidth="1"/>
    <col min="11" max="11" width="6.42578125" customWidth="1"/>
    <col min="12" max="12" width="11.28515625" customWidth="1"/>
    <col min="13" max="13" width="10.28515625" customWidth="1"/>
    <col min="14" max="14" width="3.42578125" customWidth="1"/>
    <col min="15" max="15" width="2.7109375" customWidth="1"/>
  </cols>
  <sheetData>
    <row r="1" spans="1:14" ht="15" customHeight="1" x14ac:dyDescent="0.25"/>
    <row r="3" spans="1:14" ht="46.5" x14ac:dyDescent="0.7">
      <c r="B3" s="18" t="s">
        <v>112</v>
      </c>
    </row>
    <row r="4" spans="1:14" ht="23.25" customHeight="1" x14ac:dyDescent="0.25"/>
    <row r="5" spans="1:14" ht="24" customHeight="1" x14ac:dyDescent="0.25">
      <c r="I5" s="1"/>
      <c r="J5" s="2"/>
    </row>
    <row r="6" spans="1:14" x14ac:dyDescent="0.25">
      <c r="A6" s="33" t="s">
        <v>109</v>
      </c>
      <c r="B6" s="34" t="s">
        <v>113</v>
      </c>
      <c r="C6" s="34" t="s">
        <v>110</v>
      </c>
      <c r="D6" s="34" t="s">
        <v>0</v>
      </c>
      <c r="E6" s="33" t="s">
        <v>1</v>
      </c>
      <c r="F6" s="33" t="s">
        <v>2</v>
      </c>
      <c r="G6" s="33" t="s">
        <v>3</v>
      </c>
    </row>
    <row r="7" spans="1:14" x14ac:dyDescent="0.25">
      <c r="A7" s="22" t="s">
        <v>9</v>
      </c>
      <c r="B7" s="22">
        <v>23</v>
      </c>
      <c r="C7" s="23">
        <v>95946</v>
      </c>
      <c r="D7" s="23" t="s">
        <v>214</v>
      </c>
      <c r="E7" s="22" t="s">
        <v>114</v>
      </c>
      <c r="F7" s="24"/>
      <c r="G7" s="25"/>
    </row>
    <row r="8" spans="1:14" x14ac:dyDescent="0.25">
      <c r="A8" s="21" t="s">
        <v>10</v>
      </c>
      <c r="B8" s="21">
        <v>34</v>
      </c>
      <c r="C8" s="26">
        <v>87628</v>
      </c>
      <c r="D8" s="26" t="s">
        <v>215</v>
      </c>
      <c r="E8" s="21" t="s">
        <v>115</v>
      </c>
      <c r="F8" s="27"/>
      <c r="G8" s="28"/>
      <c r="J8" s="7"/>
      <c r="K8" s="7"/>
      <c r="L8" s="7"/>
      <c r="M8" s="7"/>
      <c r="N8" s="7"/>
    </row>
    <row r="9" spans="1:14" x14ac:dyDescent="0.25">
      <c r="A9" s="29" t="s">
        <v>11</v>
      </c>
      <c r="B9" s="29">
        <v>34</v>
      </c>
      <c r="C9" s="30">
        <v>33227</v>
      </c>
      <c r="D9" s="30" t="s">
        <v>216</v>
      </c>
      <c r="E9" s="29" t="s">
        <v>116</v>
      </c>
      <c r="F9" s="24"/>
      <c r="G9" s="36"/>
      <c r="J9" s="7"/>
      <c r="K9" s="7"/>
      <c r="L9" s="7"/>
      <c r="M9" s="7"/>
      <c r="N9" s="7"/>
    </row>
    <row r="10" spans="1:14" x14ac:dyDescent="0.25">
      <c r="A10" s="21" t="s">
        <v>12</v>
      </c>
      <c r="B10" s="21">
        <v>3</v>
      </c>
      <c r="C10" s="26">
        <v>91572</v>
      </c>
      <c r="D10" s="26" t="s">
        <v>217</v>
      </c>
      <c r="E10" s="21" t="s">
        <v>117</v>
      </c>
      <c r="F10" s="27"/>
      <c r="G10" s="32"/>
    </row>
    <row r="11" spans="1:14" x14ac:dyDescent="0.25">
      <c r="A11" s="29" t="s">
        <v>13</v>
      </c>
      <c r="B11" s="21">
        <v>5</v>
      </c>
      <c r="C11" s="30">
        <v>10392</v>
      </c>
      <c r="D11" s="30" t="s">
        <v>218</v>
      </c>
      <c r="E11" s="29" t="s">
        <v>118</v>
      </c>
      <c r="F11" s="24"/>
      <c r="G11" s="31"/>
    </row>
    <row r="12" spans="1:14" x14ac:dyDescent="0.25">
      <c r="A12" s="21" t="s">
        <v>14</v>
      </c>
      <c r="B12" s="21">
        <v>76</v>
      </c>
      <c r="C12" s="26">
        <v>78909</v>
      </c>
      <c r="D12" s="26" t="s">
        <v>219</v>
      </c>
      <c r="E12" s="21" t="s">
        <v>119</v>
      </c>
      <c r="F12" s="27"/>
      <c r="G12" s="28"/>
    </row>
    <row r="13" spans="1:14" x14ac:dyDescent="0.25">
      <c r="A13" s="29" t="s">
        <v>15</v>
      </c>
      <c r="B13" s="21">
        <v>34</v>
      </c>
      <c r="C13" s="30">
        <v>94604</v>
      </c>
      <c r="D13" s="30" t="s">
        <v>220</v>
      </c>
      <c r="E13" s="29" t="s">
        <v>120</v>
      </c>
      <c r="F13" s="24"/>
      <c r="G13" s="36"/>
    </row>
    <row r="14" spans="1:14" x14ac:dyDescent="0.25">
      <c r="A14" s="21" t="s">
        <v>16</v>
      </c>
      <c r="B14" s="21">
        <v>34</v>
      </c>
      <c r="C14" s="26">
        <v>47569</v>
      </c>
      <c r="D14" s="26" t="s">
        <v>221</v>
      </c>
      <c r="E14" s="21" t="s">
        <v>121</v>
      </c>
      <c r="F14" s="27"/>
      <c r="G14" s="28"/>
    </row>
    <row r="15" spans="1:14" x14ac:dyDescent="0.25">
      <c r="A15" s="29" t="s">
        <v>17</v>
      </c>
      <c r="B15" s="21">
        <v>3</v>
      </c>
      <c r="C15" s="30">
        <v>79078</v>
      </c>
      <c r="D15" s="30" t="s">
        <v>222</v>
      </c>
      <c r="E15" s="29" t="s">
        <v>122</v>
      </c>
      <c r="F15" s="24"/>
      <c r="G15" s="36"/>
    </row>
    <row r="16" spans="1:14" x14ac:dyDescent="0.25">
      <c r="A16" s="21" t="s">
        <v>18</v>
      </c>
      <c r="B16" s="21">
        <v>4</v>
      </c>
      <c r="C16" s="26">
        <v>59201</v>
      </c>
      <c r="D16" s="26" t="s">
        <v>223</v>
      </c>
      <c r="E16" s="21" t="s">
        <v>123</v>
      </c>
      <c r="F16" s="27"/>
      <c r="G16" s="28"/>
    </row>
    <row r="17" spans="1:7" x14ac:dyDescent="0.25">
      <c r="A17" s="29" t="s">
        <v>19</v>
      </c>
      <c r="B17" s="21">
        <v>6</v>
      </c>
      <c r="C17" s="30">
        <v>19974</v>
      </c>
      <c r="D17" s="30" t="s">
        <v>224</v>
      </c>
      <c r="E17" s="29" t="s">
        <v>124</v>
      </c>
      <c r="F17" s="24"/>
      <c r="G17" s="31"/>
    </row>
    <row r="18" spans="1:7" x14ac:dyDescent="0.25">
      <c r="A18" s="21" t="s">
        <v>20</v>
      </c>
      <c r="B18" s="21">
        <v>77</v>
      </c>
      <c r="C18" s="26">
        <v>96080</v>
      </c>
      <c r="D18" s="26" t="s">
        <v>225</v>
      </c>
      <c r="E18" s="21" t="s">
        <v>125</v>
      </c>
      <c r="F18" s="27"/>
      <c r="G18" s="28"/>
    </row>
    <row r="19" spans="1:7" x14ac:dyDescent="0.25">
      <c r="A19" s="29" t="s">
        <v>21</v>
      </c>
      <c r="B19" s="21">
        <v>34</v>
      </c>
      <c r="C19" s="30">
        <v>58128</v>
      </c>
      <c r="D19" s="30" t="s">
        <v>226</v>
      </c>
      <c r="E19" s="29" t="s">
        <v>126</v>
      </c>
      <c r="F19" s="24"/>
      <c r="G19" s="31"/>
    </row>
    <row r="20" spans="1:7" x14ac:dyDescent="0.25">
      <c r="A20" s="21" t="s">
        <v>22</v>
      </c>
      <c r="B20" s="21">
        <v>23</v>
      </c>
      <c r="C20" s="26">
        <v>97464</v>
      </c>
      <c r="D20" s="26" t="s">
        <v>227</v>
      </c>
      <c r="E20" s="21" t="s">
        <v>127</v>
      </c>
      <c r="F20" s="27"/>
      <c r="G20" s="28"/>
    </row>
    <row r="21" spans="1:7" x14ac:dyDescent="0.25">
      <c r="A21" s="29" t="s">
        <v>23</v>
      </c>
      <c r="B21" s="21">
        <v>56</v>
      </c>
      <c r="C21" s="30">
        <v>94227</v>
      </c>
      <c r="D21" s="30" t="s">
        <v>228</v>
      </c>
      <c r="E21" s="29" t="s">
        <v>128</v>
      </c>
      <c r="F21" s="24"/>
      <c r="G21" s="31"/>
    </row>
    <row r="22" spans="1:7" x14ac:dyDescent="0.25">
      <c r="A22" s="21" t="s">
        <v>24</v>
      </c>
      <c r="B22" s="21">
        <v>67</v>
      </c>
      <c r="C22" s="26">
        <v>70151</v>
      </c>
      <c r="D22" s="26" t="s">
        <v>229</v>
      </c>
      <c r="E22" s="21" t="s">
        <v>129</v>
      </c>
      <c r="F22" s="27"/>
      <c r="G22" s="28"/>
    </row>
    <row r="23" spans="1:7" x14ac:dyDescent="0.25">
      <c r="A23" s="29" t="s">
        <v>25</v>
      </c>
      <c r="B23" s="21">
        <v>45</v>
      </c>
      <c r="C23" s="30">
        <v>55958</v>
      </c>
      <c r="D23" s="30" t="s">
        <v>230</v>
      </c>
      <c r="E23" s="29" t="s">
        <v>130</v>
      </c>
      <c r="F23" s="24"/>
      <c r="G23" s="31"/>
    </row>
    <row r="24" spans="1:7" x14ac:dyDescent="0.25">
      <c r="A24" s="21" t="s">
        <v>26</v>
      </c>
      <c r="B24" s="21">
        <v>54</v>
      </c>
      <c r="C24" s="26">
        <v>21323</v>
      </c>
      <c r="D24" s="26" t="s">
        <v>231</v>
      </c>
      <c r="E24" s="21" t="s">
        <v>131</v>
      </c>
      <c r="F24" s="27"/>
      <c r="G24" s="28"/>
    </row>
    <row r="25" spans="1:7" x14ac:dyDescent="0.25">
      <c r="A25" s="29" t="s">
        <v>27</v>
      </c>
      <c r="B25" s="21">
        <v>983</v>
      </c>
      <c r="C25" s="30">
        <v>61515</v>
      </c>
      <c r="D25" s="30" t="s">
        <v>232</v>
      </c>
      <c r="E25" s="29" t="s">
        <v>132</v>
      </c>
      <c r="F25" s="24"/>
      <c r="G25" s="31"/>
    </row>
    <row r="26" spans="1:7" x14ac:dyDescent="0.25">
      <c r="A26" s="21" t="s">
        <v>28</v>
      </c>
      <c r="B26" s="21">
        <v>2</v>
      </c>
      <c r="C26" s="26">
        <v>56851</v>
      </c>
      <c r="D26" s="26" t="s">
        <v>233</v>
      </c>
      <c r="E26" s="21" t="s">
        <v>133</v>
      </c>
      <c r="F26" s="27"/>
      <c r="G26" s="28"/>
    </row>
    <row r="27" spans="1:7" x14ac:dyDescent="0.25">
      <c r="A27" s="29" t="s">
        <v>29</v>
      </c>
      <c r="B27" s="21">
        <v>45</v>
      </c>
      <c r="C27" s="30">
        <v>48489</v>
      </c>
      <c r="D27" s="30" t="s">
        <v>234</v>
      </c>
      <c r="E27" s="29" t="s">
        <v>134</v>
      </c>
      <c r="F27" s="24"/>
      <c r="G27" s="31"/>
    </row>
    <row r="28" spans="1:7" x14ac:dyDescent="0.25">
      <c r="A28" s="21" t="s">
        <v>30</v>
      </c>
      <c r="B28" s="21">
        <v>5</v>
      </c>
      <c r="C28" s="26">
        <v>74660</v>
      </c>
      <c r="D28" s="26" t="s">
        <v>235</v>
      </c>
      <c r="E28" s="21" t="s">
        <v>135</v>
      </c>
      <c r="F28" s="27"/>
      <c r="G28" s="37"/>
    </row>
    <row r="29" spans="1:7" x14ac:dyDescent="0.25">
      <c r="A29" s="29" t="s">
        <v>31</v>
      </c>
      <c r="B29" s="21">
        <v>68</v>
      </c>
      <c r="C29" s="30">
        <v>12650</v>
      </c>
      <c r="D29" s="30" t="s">
        <v>236</v>
      </c>
      <c r="E29" s="29" t="s">
        <v>136</v>
      </c>
      <c r="F29" s="24"/>
      <c r="G29" s="31"/>
    </row>
    <row r="30" spans="1:7" x14ac:dyDescent="0.25">
      <c r="A30" s="21" t="s">
        <v>32</v>
      </c>
      <c r="B30" s="21">
        <v>9</v>
      </c>
      <c r="C30" s="26">
        <v>85289</v>
      </c>
      <c r="D30" s="26" t="s">
        <v>237</v>
      </c>
      <c r="E30" s="21" t="s">
        <v>137</v>
      </c>
      <c r="F30" s="27"/>
      <c r="G30" s="28"/>
    </row>
    <row r="31" spans="1:7" x14ac:dyDescent="0.25">
      <c r="A31" s="29" t="s">
        <v>33</v>
      </c>
      <c r="B31" s="21">
        <v>54</v>
      </c>
      <c r="C31" s="30">
        <v>76529</v>
      </c>
      <c r="D31" s="30" t="s">
        <v>238</v>
      </c>
      <c r="E31" s="29" t="s">
        <v>138</v>
      </c>
      <c r="F31" s="24"/>
      <c r="G31" s="31"/>
    </row>
    <row r="32" spans="1:7" x14ac:dyDescent="0.25">
      <c r="A32" s="21" t="s">
        <v>34</v>
      </c>
      <c r="B32" s="21">
        <v>6</v>
      </c>
      <c r="C32" s="26">
        <v>37118</v>
      </c>
      <c r="D32" s="26" t="s">
        <v>239</v>
      </c>
      <c r="E32" s="21" t="s">
        <v>139</v>
      </c>
      <c r="F32" s="27"/>
      <c r="G32" s="28"/>
    </row>
    <row r="33" spans="1:7" x14ac:dyDescent="0.25">
      <c r="A33" s="29" t="s">
        <v>35</v>
      </c>
      <c r="B33" s="29">
        <v>65</v>
      </c>
      <c r="C33" s="30">
        <v>20196</v>
      </c>
      <c r="D33" s="30" t="s">
        <v>240</v>
      </c>
      <c r="E33" s="29" t="s">
        <v>140</v>
      </c>
      <c r="F33" s="24"/>
      <c r="G33" s="31"/>
    </row>
    <row r="34" spans="1:7" x14ac:dyDescent="0.25">
      <c r="A34" s="21" t="s">
        <v>36</v>
      </c>
      <c r="B34" s="21">
        <v>34</v>
      </c>
      <c r="C34" s="26">
        <v>76978</v>
      </c>
      <c r="D34" s="26" t="s">
        <v>241</v>
      </c>
      <c r="E34" s="21" t="s">
        <v>141</v>
      </c>
      <c r="F34" s="27"/>
      <c r="G34" s="28"/>
    </row>
    <row r="35" spans="1:7" x14ac:dyDescent="0.25">
      <c r="A35" s="29" t="s">
        <v>37</v>
      </c>
      <c r="B35" s="29">
        <v>4</v>
      </c>
      <c r="C35" s="30">
        <v>99707</v>
      </c>
      <c r="D35" s="30" t="s">
        <v>242</v>
      </c>
      <c r="E35" s="29" t="s">
        <v>142</v>
      </c>
      <c r="F35" s="24"/>
      <c r="G35" s="31"/>
    </row>
    <row r="36" spans="1:7" x14ac:dyDescent="0.25">
      <c r="A36" s="21" t="s">
        <v>38</v>
      </c>
      <c r="B36" s="21">
        <v>6</v>
      </c>
      <c r="C36" s="26">
        <v>44618</v>
      </c>
      <c r="D36" s="26" t="s">
        <v>243</v>
      </c>
      <c r="E36" s="21" t="s">
        <v>143</v>
      </c>
      <c r="F36" s="27"/>
      <c r="G36" s="28"/>
    </row>
    <row r="37" spans="1:7" x14ac:dyDescent="0.25">
      <c r="A37" s="29" t="s">
        <v>39</v>
      </c>
      <c r="B37" s="29">
        <v>7</v>
      </c>
      <c r="C37" s="30">
        <v>26981</v>
      </c>
      <c r="D37" s="30" t="s">
        <v>244</v>
      </c>
      <c r="E37" s="29" t="s">
        <v>144</v>
      </c>
      <c r="F37" s="24"/>
      <c r="G37" s="31"/>
    </row>
    <row r="38" spans="1:7" x14ac:dyDescent="0.25">
      <c r="A38" s="21" t="s">
        <v>40</v>
      </c>
      <c r="B38" s="21">
        <v>5</v>
      </c>
      <c r="C38" s="26">
        <v>42645</v>
      </c>
      <c r="D38" s="26" t="s">
        <v>245</v>
      </c>
      <c r="E38" s="21" t="s">
        <v>145</v>
      </c>
      <c r="F38" s="27"/>
      <c r="G38" s="28"/>
    </row>
    <row r="39" spans="1:7" x14ac:dyDescent="0.25">
      <c r="A39" s="29" t="s">
        <v>41</v>
      </c>
      <c r="B39" s="29">
        <v>34</v>
      </c>
      <c r="C39" s="30">
        <v>50957</v>
      </c>
      <c r="D39" s="30" t="s">
        <v>246</v>
      </c>
      <c r="E39" s="29" t="s">
        <v>146</v>
      </c>
      <c r="F39" s="24"/>
      <c r="G39" s="31"/>
    </row>
    <row r="40" spans="1:7" x14ac:dyDescent="0.25">
      <c r="A40" s="21" t="s">
        <v>42</v>
      </c>
      <c r="B40" s="21">
        <v>45</v>
      </c>
      <c r="C40" s="26">
        <v>47691</v>
      </c>
      <c r="D40" s="26" t="s">
        <v>247</v>
      </c>
      <c r="E40" s="21" t="s">
        <v>147</v>
      </c>
      <c r="F40" s="27"/>
      <c r="G40" s="28"/>
    </row>
    <row r="41" spans="1:7" x14ac:dyDescent="0.25">
      <c r="A41" s="29" t="s">
        <v>43</v>
      </c>
      <c r="B41" s="29">
        <v>67</v>
      </c>
      <c r="C41" s="30">
        <v>85094</v>
      </c>
      <c r="D41" s="30" t="s">
        <v>248</v>
      </c>
      <c r="E41" s="29" t="s">
        <v>148</v>
      </c>
      <c r="F41" s="24"/>
      <c r="G41" s="31"/>
    </row>
    <row r="42" spans="1:7" x14ac:dyDescent="0.25">
      <c r="A42" s="21" t="s">
        <v>44</v>
      </c>
      <c r="B42" s="21">
        <v>76</v>
      </c>
      <c r="C42" s="26">
        <v>66480</v>
      </c>
      <c r="D42" s="26" t="s">
        <v>249</v>
      </c>
      <c r="E42" s="21" t="s">
        <v>149</v>
      </c>
      <c r="F42" s="27"/>
      <c r="G42" s="28"/>
    </row>
    <row r="43" spans="1:7" x14ac:dyDescent="0.25">
      <c r="A43" s="29" t="s">
        <v>45</v>
      </c>
      <c r="B43" s="29">
        <v>34</v>
      </c>
      <c r="C43" s="30">
        <v>50240</v>
      </c>
      <c r="D43" s="30" t="s">
        <v>250</v>
      </c>
      <c r="E43" s="29" t="s">
        <v>150</v>
      </c>
      <c r="F43" s="24"/>
      <c r="G43" s="31"/>
    </row>
    <row r="44" spans="1:7" x14ac:dyDescent="0.25">
      <c r="A44" s="21" t="s">
        <v>46</v>
      </c>
      <c r="B44" s="21">
        <v>34</v>
      </c>
      <c r="C44" s="26">
        <v>55370</v>
      </c>
      <c r="D44" s="26" t="s">
        <v>251</v>
      </c>
      <c r="E44" s="21" t="s">
        <v>151</v>
      </c>
      <c r="F44" s="27"/>
      <c r="G44" s="28"/>
    </row>
    <row r="45" spans="1:7" x14ac:dyDescent="0.25">
      <c r="A45" s="29" t="s">
        <v>47</v>
      </c>
      <c r="B45" s="29">
        <v>23</v>
      </c>
      <c r="C45" s="30">
        <v>41523</v>
      </c>
      <c r="D45" s="30" t="s">
        <v>252</v>
      </c>
      <c r="E45" s="29" t="s">
        <v>152</v>
      </c>
      <c r="F45" s="24"/>
      <c r="G45" s="31"/>
    </row>
    <row r="46" spans="1:7" x14ac:dyDescent="0.25">
      <c r="A46" s="21" t="s">
        <v>48</v>
      </c>
      <c r="B46" s="21">
        <v>67</v>
      </c>
      <c r="C46" s="26">
        <v>88837</v>
      </c>
      <c r="D46" s="26" t="s">
        <v>253</v>
      </c>
      <c r="E46" s="21" t="s">
        <v>153</v>
      </c>
      <c r="F46" s="27"/>
      <c r="G46" s="28"/>
    </row>
    <row r="47" spans="1:7" x14ac:dyDescent="0.25">
      <c r="A47" s="29" t="s">
        <v>49</v>
      </c>
      <c r="B47" s="29">
        <v>89</v>
      </c>
      <c r="C47" s="30">
        <v>48424</v>
      </c>
      <c r="D47" s="30" t="s">
        <v>254</v>
      </c>
      <c r="E47" s="29" t="s">
        <v>154</v>
      </c>
      <c r="F47" s="24"/>
      <c r="G47" s="31"/>
    </row>
    <row r="48" spans="1:7" x14ac:dyDescent="0.25">
      <c r="A48" s="21" t="s">
        <v>50</v>
      </c>
      <c r="B48" s="21">
        <v>53</v>
      </c>
      <c r="C48" s="26">
        <v>70017</v>
      </c>
      <c r="D48" s="26" t="s">
        <v>255</v>
      </c>
      <c r="E48" s="21" t="s">
        <v>155</v>
      </c>
      <c r="F48" s="27"/>
      <c r="G48" s="28"/>
    </row>
    <row r="49" spans="1:7" x14ac:dyDescent="0.25">
      <c r="A49" s="29" t="s">
        <v>51</v>
      </c>
      <c r="B49" s="29">
        <v>95</v>
      </c>
      <c r="C49" s="30">
        <v>22981</v>
      </c>
      <c r="D49" s="30" t="s">
        <v>256</v>
      </c>
      <c r="E49" s="29" t="s">
        <v>156</v>
      </c>
      <c r="F49" s="24"/>
      <c r="G49" s="31"/>
    </row>
    <row r="50" spans="1:7" x14ac:dyDescent="0.25">
      <c r="A50" s="21" t="s">
        <v>52</v>
      </c>
      <c r="B50" s="21">
        <v>75</v>
      </c>
      <c r="C50" s="26">
        <v>83375</v>
      </c>
      <c r="D50" s="26" t="s">
        <v>257</v>
      </c>
      <c r="E50" s="21" t="s">
        <v>157</v>
      </c>
      <c r="F50" s="27"/>
      <c r="G50" s="28"/>
    </row>
    <row r="51" spans="1:7" x14ac:dyDescent="0.25">
      <c r="A51" s="29" t="s">
        <v>53</v>
      </c>
      <c r="B51" s="29">
        <v>6</v>
      </c>
      <c r="C51" s="30">
        <v>54025</v>
      </c>
      <c r="D51" s="30" t="s">
        <v>258</v>
      </c>
      <c r="E51" s="29" t="s">
        <v>158</v>
      </c>
      <c r="F51" s="24"/>
      <c r="G51" s="31"/>
    </row>
    <row r="52" spans="1:7" x14ac:dyDescent="0.25">
      <c r="A52" s="21" t="s">
        <v>54</v>
      </c>
      <c r="B52" s="21">
        <v>7</v>
      </c>
      <c r="C52" s="26">
        <v>31006</v>
      </c>
      <c r="D52" s="26" t="s">
        <v>259</v>
      </c>
      <c r="E52" s="21" t="s">
        <v>159</v>
      </c>
      <c r="F52" s="27"/>
      <c r="G52" s="28"/>
    </row>
    <row r="53" spans="1:7" x14ac:dyDescent="0.25">
      <c r="A53" s="29" t="s">
        <v>55</v>
      </c>
      <c r="B53" s="29">
        <v>56</v>
      </c>
      <c r="C53" s="30">
        <v>27797</v>
      </c>
      <c r="D53" s="30" t="s">
        <v>260</v>
      </c>
      <c r="E53" s="29" t="s">
        <v>160</v>
      </c>
      <c r="F53" s="24"/>
      <c r="G53" s="31"/>
    </row>
    <row r="54" spans="1:7" x14ac:dyDescent="0.25">
      <c r="A54" s="21" t="s">
        <v>56</v>
      </c>
      <c r="B54" s="21">
        <v>45</v>
      </c>
      <c r="C54" s="26">
        <v>78554</v>
      </c>
      <c r="D54" s="26" t="s">
        <v>261</v>
      </c>
      <c r="E54" s="21" t="s">
        <v>161</v>
      </c>
      <c r="F54" s="27"/>
      <c r="G54" s="28"/>
    </row>
    <row r="55" spans="1:7" x14ac:dyDescent="0.25">
      <c r="A55" s="29" t="s">
        <v>57</v>
      </c>
      <c r="B55" s="29">
        <v>3</v>
      </c>
      <c r="C55" s="30">
        <v>17082</v>
      </c>
      <c r="D55" s="30" t="s">
        <v>262</v>
      </c>
      <c r="E55" s="29" t="s">
        <v>162</v>
      </c>
      <c r="F55" s="24"/>
      <c r="G55" s="31"/>
    </row>
    <row r="56" spans="1:7" x14ac:dyDescent="0.25">
      <c r="A56" s="21" t="s">
        <v>58</v>
      </c>
      <c r="B56" s="21">
        <v>2</v>
      </c>
      <c r="C56" s="26">
        <v>43855</v>
      </c>
      <c r="D56" s="26" t="s">
        <v>263</v>
      </c>
      <c r="E56" s="21" t="s">
        <v>163</v>
      </c>
      <c r="F56" s="27"/>
      <c r="G56" s="28"/>
    </row>
    <row r="57" spans="1:7" x14ac:dyDescent="0.25">
      <c r="A57" s="29" t="s">
        <v>59</v>
      </c>
      <c r="B57" s="29">
        <v>56</v>
      </c>
      <c r="C57" s="30">
        <v>43507</v>
      </c>
      <c r="D57" s="30" t="s">
        <v>264</v>
      </c>
      <c r="E57" s="29" t="s">
        <v>164</v>
      </c>
      <c r="F57" s="24"/>
      <c r="G57" s="31"/>
    </row>
    <row r="58" spans="1:7" x14ac:dyDescent="0.25">
      <c r="A58" s="21" t="s">
        <v>60</v>
      </c>
      <c r="B58" s="21">
        <v>89</v>
      </c>
      <c r="C58" s="26">
        <v>78845</v>
      </c>
      <c r="D58" s="26" t="s">
        <v>265</v>
      </c>
      <c r="E58" s="21" t="s">
        <v>165</v>
      </c>
      <c r="F58" s="27"/>
      <c r="G58" s="28"/>
    </row>
    <row r="59" spans="1:7" x14ac:dyDescent="0.25">
      <c r="A59" s="29" t="s">
        <v>61</v>
      </c>
      <c r="B59" s="29">
        <v>5</v>
      </c>
      <c r="C59" s="30">
        <v>22572</v>
      </c>
      <c r="D59" s="30" t="s">
        <v>266</v>
      </c>
      <c r="E59" s="29" t="s">
        <v>166</v>
      </c>
      <c r="F59" s="24"/>
      <c r="G59" s="31"/>
    </row>
    <row r="60" spans="1:7" x14ac:dyDescent="0.25">
      <c r="A60" s="21" t="s">
        <v>62</v>
      </c>
      <c r="B60" s="21">
        <v>6</v>
      </c>
      <c r="C60" s="26">
        <v>99694</v>
      </c>
      <c r="D60" s="26" t="s">
        <v>267</v>
      </c>
      <c r="E60" s="21" t="s">
        <v>167</v>
      </c>
      <c r="F60" s="27"/>
      <c r="G60" s="28"/>
    </row>
    <row r="61" spans="1:7" x14ac:dyDescent="0.25">
      <c r="A61" s="29" t="s">
        <v>63</v>
      </c>
      <c r="B61" s="29">
        <v>8</v>
      </c>
      <c r="C61" s="30">
        <v>79100</v>
      </c>
      <c r="D61" s="30" t="s">
        <v>268</v>
      </c>
      <c r="E61" s="29" t="s">
        <v>168</v>
      </c>
      <c r="F61" s="24"/>
      <c r="G61" s="31"/>
    </row>
    <row r="62" spans="1:7" x14ac:dyDescent="0.25">
      <c r="A62" s="21" t="s">
        <v>64</v>
      </c>
      <c r="B62" s="21">
        <v>6</v>
      </c>
      <c r="C62" s="26">
        <v>16669</v>
      </c>
      <c r="D62" s="26" t="s">
        <v>269</v>
      </c>
      <c r="E62" s="21" t="s">
        <v>169</v>
      </c>
      <c r="F62" s="27"/>
      <c r="G62" s="28"/>
    </row>
    <row r="63" spans="1:7" x14ac:dyDescent="0.25">
      <c r="A63" s="29" t="s">
        <v>65</v>
      </c>
      <c r="B63" s="29">
        <v>4</v>
      </c>
      <c r="C63" s="30">
        <v>82575</v>
      </c>
      <c r="D63" s="30" t="s">
        <v>270</v>
      </c>
      <c r="E63" s="29" t="s">
        <v>170</v>
      </c>
      <c r="F63" s="24"/>
      <c r="G63" s="31"/>
    </row>
    <row r="64" spans="1:7" x14ac:dyDescent="0.25">
      <c r="A64" s="21" t="s">
        <v>66</v>
      </c>
      <c r="B64" s="21">
        <v>3</v>
      </c>
      <c r="C64" s="26">
        <v>38965</v>
      </c>
      <c r="D64" s="26" t="s">
        <v>271</v>
      </c>
      <c r="E64" s="21" t="s">
        <v>171</v>
      </c>
      <c r="F64" s="27"/>
      <c r="G64" s="28"/>
    </row>
    <row r="65" spans="1:7" x14ac:dyDescent="0.25">
      <c r="A65" s="29" t="s">
        <v>67</v>
      </c>
      <c r="B65" s="29">
        <v>45</v>
      </c>
      <c r="C65" s="30">
        <v>59170</v>
      </c>
      <c r="D65" s="30" t="s">
        <v>272</v>
      </c>
      <c r="E65" s="29" t="s">
        <v>172</v>
      </c>
      <c r="F65" s="24"/>
      <c r="G65" s="31"/>
    </row>
    <row r="66" spans="1:7" x14ac:dyDescent="0.25">
      <c r="A66" s="21" t="s">
        <v>68</v>
      </c>
      <c r="B66" s="21">
        <v>45</v>
      </c>
      <c r="C66" s="26">
        <v>51625</v>
      </c>
      <c r="D66" s="26" t="s">
        <v>273</v>
      </c>
      <c r="E66" s="21" t="s">
        <v>173</v>
      </c>
      <c r="F66" s="27"/>
      <c r="G66" s="28"/>
    </row>
    <row r="67" spans="1:7" x14ac:dyDescent="0.25">
      <c r="A67" s="29" t="s">
        <v>69</v>
      </c>
      <c r="B67" s="29">
        <v>54</v>
      </c>
      <c r="C67" s="30">
        <v>10530</v>
      </c>
      <c r="D67" s="30" t="s">
        <v>274</v>
      </c>
      <c r="E67" s="29" t="s">
        <v>174</v>
      </c>
      <c r="F67" s="24"/>
      <c r="G67" s="31"/>
    </row>
    <row r="68" spans="1:7" x14ac:dyDescent="0.25">
      <c r="A68" s="21" t="s">
        <v>70</v>
      </c>
      <c r="B68" s="21">
        <v>56</v>
      </c>
      <c r="C68" s="26">
        <v>88919</v>
      </c>
      <c r="D68" s="26" t="s">
        <v>275</v>
      </c>
      <c r="E68" s="21" t="s">
        <v>175</v>
      </c>
      <c r="F68" s="27"/>
      <c r="G68" s="28"/>
    </row>
    <row r="69" spans="1:7" x14ac:dyDescent="0.25">
      <c r="A69" s="29" t="s">
        <v>71</v>
      </c>
      <c r="B69" s="29">
        <v>78</v>
      </c>
      <c r="C69" s="30">
        <v>32571</v>
      </c>
      <c r="D69" s="30" t="s">
        <v>276</v>
      </c>
      <c r="E69" s="29" t="s">
        <v>176</v>
      </c>
      <c r="F69" s="24"/>
      <c r="G69" s="31"/>
    </row>
    <row r="70" spans="1:7" x14ac:dyDescent="0.25">
      <c r="A70" s="21" t="s">
        <v>72</v>
      </c>
      <c r="B70" s="21">
        <v>12</v>
      </c>
      <c r="C70" s="26">
        <v>84140</v>
      </c>
      <c r="D70" s="26" t="s">
        <v>277</v>
      </c>
      <c r="E70" s="21" t="s">
        <v>177</v>
      </c>
      <c r="F70" s="27"/>
      <c r="G70" s="28"/>
    </row>
    <row r="71" spans="1:7" x14ac:dyDescent="0.25">
      <c r="A71" s="29" t="s">
        <v>73</v>
      </c>
      <c r="B71" s="29">
        <v>34</v>
      </c>
      <c r="C71" s="30">
        <v>74231</v>
      </c>
      <c r="D71" s="30" t="s">
        <v>278</v>
      </c>
      <c r="E71" s="29" t="s">
        <v>178</v>
      </c>
      <c r="F71" s="24"/>
      <c r="G71" s="31"/>
    </row>
    <row r="72" spans="1:7" x14ac:dyDescent="0.25">
      <c r="A72" s="21" t="s">
        <v>74</v>
      </c>
      <c r="B72" s="21">
        <v>4</v>
      </c>
      <c r="C72" s="26">
        <v>10083</v>
      </c>
      <c r="D72" s="26" t="s">
        <v>279</v>
      </c>
      <c r="E72" s="21" t="s">
        <v>179</v>
      </c>
      <c r="F72" s="27"/>
      <c r="G72" s="28"/>
    </row>
    <row r="73" spans="1:7" x14ac:dyDescent="0.25">
      <c r="A73" s="29" t="s">
        <v>75</v>
      </c>
      <c r="B73" s="29">
        <v>36</v>
      </c>
      <c r="C73" s="30">
        <v>55789</v>
      </c>
      <c r="D73" s="30" t="s">
        <v>280</v>
      </c>
      <c r="E73" s="29" t="s">
        <v>180</v>
      </c>
      <c r="F73" s="24"/>
      <c r="G73" s="31"/>
    </row>
    <row r="74" spans="1:7" x14ac:dyDescent="0.25">
      <c r="A74" s="21" t="s">
        <v>76</v>
      </c>
      <c r="B74" s="21">
        <v>8</v>
      </c>
      <c r="C74" s="26">
        <v>82086</v>
      </c>
      <c r="D74" s="26" t="s">
        <v>281</v>
      </c>
      <c r="E74" s="21" t="s">
        <v>181</v>
      </c>
      <c r="F74" s="27"/>
      <c r="G74" s="28"/>
    </row>
    <row r="75" spans="1:7" x14ac:dyDescent="0.25">
      <c r="A75" s="29" t="s">
        <v>77</v>
      </c>
      <c r="B75" s="29">
        <v>89</v>
      </c>
      <c r="C75" s="30">
        <v>19100</v>
      </c>
      <c r="D75" s="30" t="s">
        <v>282</v>
      </c>
      <c r="E75" s="29" t="s">
        <v>182</v>
      </c>
      <c r="F75" s="24"/>
      <c r="G75" s="31"/>
    </row>
    <row r="76" spans="1:7" x14ac:dyDescent="0.25">
      <c r="A76" s="21" t="s">
        <v>78</v>
      </c>
      <c r="B76" s="21">
        <v>6</v>
      </c>
      <c r="C76" s="26">
        <v>13185</v>
      </c>
      <c r="D76" s="26" t="s">
        <v>283</v>
      </c>
      <c r="E76" s="21" t="s">
        <v>183</v>
      </c>
      <c r="F76" s="27"/>
      <c r="G76" s="28"/>
    </row>
    <row r="77" spans="1:7" x14ac:dyDescent="0.25">
      <c r="A77" s="29" t="s">
        <v>79</v>
      </c>
      <c r="B77" s="29">
        <v>5</v>
      </c>
      <c r="C77" s="30">
        <v>40516</v>
      </c>
      <c r="D77" s="30" t="s">
        <v>284</v>
      </c>
      <c r="E77" s="29" t="s">
        <v>184</v>
      </c>
      <c r="F77" s="24"/>
      <c r="G77" s="31"/>
    </row>
    <row r="78" spans="1:7" x14ac:dyDescent="0.25">
      <c r="A78" s="21" t="s">
        <v>80</v>
      </c>
      <c r="B78" s="21">
        <v>4</v>
      </c>
      <c r="C78" s="26">
        <v>22784</v>
      </c>
      <c r="D78" s="26" t="s">
        <v>285</v>
      </c>
      <c r="E78" s="21" t="s">
        <v>185</v>
      </c>
      <c r="F78" s="27"/>
      <c r="G78" s="28"/>
    </row>
    <row r="79" spans="1:7" x14ac:dyDescent="0.25">
      <c r="A79" s="29" t="s">
        <v>81</v>
      </c>
      <c r="B79" s="29">
        <v>67</v>
      </c>
      <c r="C79" s="30">
        <v>42378</v>
      </c>
      <c r="D79" s="30" t="s">
        <v>286</v>
      </c>
      <c r="E79" s="29" t="s">
        <v>186</v>
      </c>
      <c r="F79" s="24"/>
      <c r="G79" s="31"/>
    </row>
    <row r="80" spans="1:7" x14ac:dyDescent="0.25">
      <c r="A80" s="21" t="s">
        <v>82</v>
      </c>
      <c r="B80" s="21">
        <v>89</v>
      </c>
      <c r="C80" s="26">
        <v>68163</v>
      </c>
      <c r="D80" s="26" t="s">
        <v>287</v>
      </c>
      <c r="E80" s="21" t="s">
        <v>187</v>
      </c>
      <c r="F80" s="27"/>
      <c r="G80" s="28"/>
    </row>
    <row r="81" spans="1:7" x14ac:dyDescent="0.25">
      <c r="A81" s="29" t="s">
        <v>83</v>
      </c>
      <c r="B81" s="29">
        <v>3</v>
      </c>
      <c r="C81" s="30">
        <v>67043</v>
      </c>
      <c r="D81" s="30" t="s">
        <v>288</v>
      </c>
      <c r="E81" s="29" t="s">
        <v>188</v>
      </c>
      <c r="F81" s="24"/>
      <c r="G81" s="31"/>
    </row>
    <row r="82" spans="1:7" x14ac:dyDescent="0.25">
      <c r="A82" s="21" t="s">
        <v>84</v>
      </c>
      <c r="B82" s="21">
        <v>12</v>
      </c>
      <c r="C82" s="26">
        <v>86968</v>
      </c>
      <c r="D82" s="26" t="s">
        <v>289</v>
      </c>
      <c r="E82" s="21" t="s">
        <v>189</v>
      </c>
      <c r="F82" s="27"/>
      <c r="G82" s="28"/>
    </row>
    <row r="83" spans="1:7" x14ac:dyDescent="0.25">
      <c r="A83" s="29" t="s">
        <v>85</v>
      </c>
      <c r="B83" s="29">
        <v>67</v>
      </c>
      <c r="C83" s="30">
        <v>78279</v>
      </c>
      <c r="D83" s="30" t="s">
        <v>290</v>
      </c>
      <c r="E83" s="29" t="s">
        <v>190</v>
      </c>
      <c r="F83" s="24"/>
      <c r="G83" s="31"/>
    </row>
    <row r="84" spans="1:7" x14ac:dyDescent="0.25">
      <c r="A84" s="21" t="s">
        <v>86</v>
      </c>
      <c r="B84" s="21">
        <v>76</v>
      </c>
      <c r="C84" s="26">
        <v>69479</v>
      </c>
      <c r="D84" s="26" t="s">
        <v>291</v>
      </c>
      <c r="E84" s="21" t="s">
        <v>191</v>
      </c>
      <c r="F84" s="27"/>
      <c r="G84" s="28"/>
    </row>
    <row r="85" spans="1:7" x14ac:dyDescent="0.25">
      <c r="A85" s="29" t="s">
        <v>87</v>
      </c>
      <c r="B85" s="29">
        <v>73</v>
      </c>
      <c r="C85" s="30">
        <v>47338</v>
      </c>
      <c r="D85" s="30" t="s">
        <v>292</v>
      </c>
      <c r="E85" s="29" t="s">
        <v>192</v>
      </c>
      <c r="F85" s="24"/>
      <c r="G85" s="31"/>
    </row>
    <row r="86" spans="1:7" x14ac:dyDescent="0.25">
      <c r="A86" s="21" t="s">
        <v>88</v>
      </c>
      <c r="B86" s="21">
        <v>98</v>
      </c>
      <c r="C86" s="26">
        <v>62296</v>
      </c>
      <c r="D86" s="26" t="s">
        <v>293</v>
      </c>
      <c r="E86" s="21" t="s">
        <v>193</v>
      </c>
      <c r="F86" s="27"/>
      <c r="G86" s="28"/>
    </row>
    <row r="87" spans="1:7" x14ac:dyDescent="0.25">
      <c r="A87" s="29" t="s">
        <v>89</v>
      </c>
      <c r="B87" s="29">
        <v>65</v>
      </c>
      <c r="C87" s="30">
        <v>46124</v>
      </c>
      <c r="D87" s="30" t="s">
        <v>294</v>
      </c>
      <c r="E87" s="29" t="s">
        <v>194</v>
      </c>
      <c r="F87" s="24"/>
      <c r="G87" s="31"/>
    </row>
    <row r="88" spans="1:7" x14ac:dyDescent="0.25">
      <c r="A88" s="21" t="s">
        <v>90</v>
      </c>
      <c r="B88" s="21">
        <v>18</v>
      </c>
      <c r="C88" s="26">
        <v>23509</v>
      </c>
      <c r="D88" s="26" t="s">
        <v>295</v>
      </c>
      <c r="E88" s="21" t="s">
        <v>195</v>
      </c>
      <c r="F88" s="27"/>
      <c r="G88" s="28"/>
    </row>
    <row r="89" spans="1:7" x14ac:dyDescent="0.25">
      <c r="A89" s="29" t="s">
        <v>91</v>
      </c>
      <c r="B89" s="29">
        <v>94</v>
      </c>
      <c r="C89" s="30">
        <v>24005</v>
      </c>
      <c r="D89" s="30" t="s">
        <v>296</v>
      </c>
      <c r="E89" s="29" t="s">
        <v>196</v>
      </c>
      <c r="F89" s="24"/>
      <c r="G89" s="31"/>
    </row>
    <row r="90" spans="1:7" x14ac:dyDescent="0.25">
      <c r="A90" s="21" t="s">
        <v>92</v>
      </c>
      <c r="B90" s="21">
        <v>53</v>
      </c>
      <c r="C90" s="26">
        <v>99909</v>
      </c>
      <c r="D90" s="26" t="s">
        <v>297</v>
      </c>
      <c r="E90" s="21" t="s">
        <v>197</v>
      </c>
      <c r="F90" s="27"/>
      <c r="G90" s="28"/>
    </row>
    <row r="91" spans="1:7" x14ac:dyDescent="0.25">
      <c r="A91" s="29" t="s">
        <v>93</v>
      </c>
      <c r="B91" s="29">
        <v>17</v>
      </c>
      <c r="C91" s="30">
        <v>37950</v>
      </c>
      <c r="D91" s="30" t="s">
        <v>298</v>
      </c>
      <c r="E91" s="29" t="s">
        <v>198</v>
      </c>
      <c r="F91" s="24"/>
      <c r="G91" s="31"/>
    </row>
    <row r="92" spans="1:7" x14ac:dyDescent="0.25">
      <c r="A92" s="21" t="s">
        <v>94</v>
      </c>
      <c r="B92" s="21">
        <v>85</v>
      </c>
      <c r="C92" s="26">
        <v>42597</v>
      </c>
      <c r="D92" s="26" t="s">
        <v>299</v>
      </c>
      <c r="E92" s="21" t="s">
        <v>199</v>
      </c>
      <c r="F92" s="27"/>
      <c r="G92" s="28"/>
    </row>
    <row r="93" spans="1:7" x14ac:dyDescent="0.25">
      <c r="A93" s="29" t="s">
        <v>95</v>
      </c>
      <c r="B93" s="29">
        <v>39</v>
      </c>
      <c r="C93" s="30">
        <v>21051</v>
      </c>
      <c r="D93" s="30" t="s">
        <v>300</v>
      </c>
      <c r="E93" s="29" t="s">
        <v>200</v>
      </c>
      <c r="F93" s="24"/>
      <c r="G93" s="31"/>
    </row>
    <row r="94" spans="1:7" x14ac:dyDescent="0.25">
      <c r="A94" s="21" t="s">
        <v>96</v>
      </c>
      <c r="B94" s="21">
        <v>61</v>
      </c>
      <c r="C94" s="26">
        <v>72471</v>
      </c>
      <c r="D94" s="26" t="s">
        <v>301</v>
      </c>
      <c r="E94" s="21" t="s">
        <v>201</v>
      </c>
      <c r="F94" s="27"/>
      <c r="G94" s="28"/>
    </row>
    <row r="95" spans="1:7" x14ac:dyDescent="0.25">
      <c r="A95" s="29" t="s">
        <v>97</v>
      </c>
      <c r="B95" s="29">
        <v>53</v>
      </c>
      <c r="C95" s="30">
        <v>55646</v>
      </c>
      <c r="D95" s="30" t="s">
        <v>302</v>
      </c>
      <c r="E95" s="29" t="s">
        <v>202</v>
      </c>
      <c r="F95" s="24"/>
      <c r="G95" s="31"/>
    </row>
    <row r="96" spans="1:7" x14ac:dyDescent="0.25">
      <c r="A96" s="21" t="s">
        <v>98</v>
      </c>
      <c r="B96" s="21">
        <v>86</v>
      </c>
      <c r="C96" s="26">
        <v>18873</v>
      </c>
      <c r="D96" s="26" t="s">
        <v>303</v>
      </c>
      <c r="E96" s="21" t="s">
        <v>203</v>
      </c>
      <c r="F96" s="27"/>
      <c r="G96" s="28"/>
    </row>
    <row r="97" spans="1:7" x14ac:dyDescent="0.25">
      <c r="A97" s="29" t="s">
        <v>99</v>
      </c>
      <c r="B97" s="29">
        <v>30</v>
      </c>
      <c r="C97" s="30">
        <v>20260</v>
      </c>
      <c r="D97" s="30" t="s">
        <v>304</v>
      </c>
      <c r="E97" s="29" t="s">
        <v>204</v>
      </c>
      <c r="F97" s="24"/>
      <c r="G97" s="31"/>
    </row>
    <row r="98" spans="1:7" x14ac:dyDescent="0.25">
      <c r="A98" s="21" t="s">
        <v>100</v>
      </c>
      <c r="B98" s="21">
        <v>61</v>
      </c>
      <c r="C98" s="26">
        <v>11736</v>
      </c>
      <c r="D98" s="26" t="s">
        <v>305</v>
      </c>
      <c r="E98" s="21" t="s">
        <v>205</v>
      </c>
      <c r="F98" s="27"/>
      <c r="G98" s="28"/>
    </row>
    <row r="99" spans="1:7" x14ac:dyDescent="0.25">
      <c r="A99" s="29" t="s">
        <v>101</v>
      </c>
      <c r="B99" s="29">
        <v>46</v>
      </c>
      <c r="C99" s="30">
        <v>42810</v>
      </c>
      <c r="D99" s="30" t="s">
        <v>306</v>
      </c>
      <c r="E99" s="29" t="s">
        <v>206</v>
      </c>
      <c r="F99" s="24"/>
      <c r="G99" s="31"/>
    </row>
    <row r="100" spans="1:7" x14ac:dyDescent="0.25">
      <c r="A100" s="21" t="s">
        <v>102</v>
      </c>
      <c r="B100" s="21">
        <v>83</v>
      </c>
      <c r="C100" s="26">
        <v>54405</v>
      </c>
      <c r="D100" s="26" t="s">
        <v>307</v>
      </c>
      <c r="E100" s="21" t="s">
        <v>207</v>
      </c>
      <c r="F100" s="27"/>
      <c r="G100" s="28"/>
    </row>
    <row r="101" spans="1:7" x14ac:dyDescent="0.25">
      <c r="A101" s="29" t="s">
        <v>103</v>
      </c>
      <c r="B101" s="29">
        <v>20</v>
      </c>
      <c r="C101" s="30">
        <v>76538</v>
      </c>
      <c r="D101" s="30" t="s">
        <v>308</v>
      </c>
      <c r="E101" s="29" t="s">
        <v>208</v>
      </c>
      <c r="F101" s="24"/>
      <c r="G101" s="31"/>
    </row>
    <row r="102" spans="1:7" x14ac:dyDescent="0.25">
      <c r="A102" s="21" t="s">
        <v>104</v>
      </c>
      <c r="B102" s="21">
        <v>83</v>
      </c>
      <c r="C102" s="26">
        <v>46636</v>
      </c>
      <c r="D102" s="26" t="s">
        <v>309</v>
      </c>
      <c r="E102" s="21" t="s">
        <v>209</v>
      </c>
      <c r="F102" s="27"/>
      <c r="G102" s="28"/>
    </row>
    <row r="103" spans="1:7" x14ac:dyDescent="0.25">
      <c r="A103" s="29" t="s">
        <v>105</v>
      </c>
      <c r="B103" s="29">
        <v>23</v>
      </c>
      <c r="C103" s="30">
        <v>90130</v>
      </c>
      <c r="D103" s="30" t="s">
        <v>310</v>
      </c>
      <c r="E103" s="29" t="s">
        <v>210</v>
      </c>
      <c r="F103" s="24"/>
      <c r="G103" s="31"/>
    </row>
    <row r="104" spans="1:7" x14ac:dyDescent="0.25">
      <c r="A104" s="21" t="s">
        <v>106</v>
      </c>
      <c r="B104" s="21">
        <v>46</v>
      </c>
      <c r="C104" s="26">
        <v>88270</v>
      </c>
      <c r="D104" s="26" t="s">
        <v>311</v>
      </c>
      <c r="E104" s="21" t="s">
        <v>211</v>
      </c>
      <c r="F104" s="27"/>
      <c r="G104" s="28"/>
    </row>
    <row r="105" spans="1:7" x14ac:dyDescent="0.25">
      <c r="A105" s="29" t="s">
        <v>107</v>
      </c>
      <c r="B105" s="29">
        <v>32</v>
      </c>
      <c r="C105" s="30">
        <v>45517</v>
      </c>
      <c r="D105" s="30" t="s">
        <v>300</v>
      </c>
      <c r="E105" s="29" t="s">
        <v>212</v>
      </c>
      <c r="F105" s="24"/>
      <c r="G105" s="31"/>
    </row>
    <row r="106" spans="1:7" x14ac:dyDescent="0.25">
      <c r="A106" s="21" t="s">
        <v>108</v>
      </c>
      <c r="B106" s="21">
        <v>34</v>
      </c>
      <c r="C106" s="26">
        <v>43605</v>
      </c>
      <c r="D106" s="26" t="s">
        <v>279</v>
      </c>
      <c r="E106" s="21" t="s">
        <v>213</v>
      </c>
      <c r="F106" s="27"/>
      <c r="G106" s="28"/>
    </row>
    <row r="107" spans="1:7" x14ac:dyDescent="0.25">
      <c r="A107" s="21" t="s">
        <v>313</v>
      </c>
      <c r="B107" s="21" t="s">
        <v>314</v>
      </c>
      <c r="C107" s="26"/>
      <c r="D107" s="26" t="s">
        <v>314</v>
      </c>
      <c r="E107" s="21" t="s">
        <v>314</v>
      </c>
      <c r="F107" s="27"/>
      <c r="G107" s="28"/>
    </row>
    <row r="108" spans="1:7" x14ac:dyDescent="0.25">
      <c r="A108" s="21" t="s">
        <v>109</v>
      </c>
      <c r="B108" s="21" t="s">
        <v>314</v>
      </c>
      <c r="C108" s="26" t="s">
        <v>110</v>
      </c>
      <c r="D108" s="26" t="s">
        <v>314</v>
      </c>
      <c r="E108" s="21" t="s">
        <v>314</v>
      </c>
      <c r="F108" s="27"/>
      <c r="G108" s="28"/>
    </row>
    <row r="109" spans="1:7" x14ac:dyDescent="0.25">
      <c r="A109" s="21" t="s">
        <v>325</v>
      </c>
      <c r="B109" s="21" t="s">
        <v>314</v>
      </c>
      <c r="C109" s="26">
        <v>19663</v>
      </c>
      <c r="D109" s="26" t="s">
        <v>314</v>
      </c>
      <c r="E109" s="21" t="s">
        <v>314</v>
      </c>
      <c r="F109" s="27"/>
      <c r="G109" s="28"/>
    </row>
    <row r="110" spans="1:7" x14ac:dyDescent="0.25">
      <c r="A110" s="21" t="s">
        <v>326</v>
      </c>
      <c r="B110" s="21" t="s">
        <v>314</v>
      </c>
      <c r="C110" s="26">
        <v>47368</v>
      </c>
      <c r="D110" s="26" t="s">
        <v>314</v>
      </c>
      <c r="E110" s="21" t="s">
        <v>314</v>
      </c>
      <c r="F110" s="27"/>
      <c r="G110" s="28"/>
    </row>
    <row r="111" spans="1:7" x14ac:dyDescent="0.25">
      <c r="A111" s="21" t="s">
        <v>327</v>
      </c>
      <c r="B111" s="21" t="s">
        <v>314</v>
      </c>
      <c r="C111" s="26">
        <v>53452</v>
      </c>
      <c r="D111" s="26" t="s">
        <v>314</v>
      </c>
      <c r="E111" s="21" t="s">
        <v>314</v>
      </c>
      <c r="F111" s="27"/>
      <c r="G111" s="28"/>
    </row>
    <row r="112" spans="1:7" x14ac:dyDescent="0.25">
      <c r="A112" s="21" t="s">
        <v>328</v>
      </c>
      <c r="B112" s="21" t="s">
        <v>314</v>
      </c>
      <c r="C112" s="26">
        <v>79040</v>
      </c>
      <c r="D112" s="26" t="s">
        <v>314</v>
      </c>
      <c r="E112" s="21" t="s">
        <v>314</v>
      </c>
      <c r="F112" s="27"/>
      <c r="G112" s="28"/>
    </row>
    <row r="113" spans="1:7" x14ac:dyDescent="0.25">
      <c r="A113" s="21" t="s">
        <v>329</v>
      </c>
      <c r="B113" s="21" t="s">
        <v>314</v>
      </c>
      <c r="C113" s="26">
        <v>19795</v>
      </c>
      <c r="D113" s="26" t="s">
        <v>314</v>
      </c>
      <c r="E113" s="21" t="s">
        <v>314</v>
      </c>
      <c r="F113" s="27"/>
      <c r="G113" s="28"/>
    </row>
    <row r="114" spans="1:7" x14ac:dyDescent="0.25">
      <c r="A114" s="21" t="s">
        <v>330</v>
      </c>
      <c r="B114" s="21" t="s">
        <v>314</v>
      </c>
      <c r="C114" s="26">
        <v>70055</v>
      </c>
      <c r="D114" s="26" t="s">
        <v>314</v>
      </c>
      <c r="E114" s="21" t="s">
        <v>314</v>
      </c>
      <c r="F114" s="27"/>
      <c r="G114" s="28"/>
    </row>
    <row r="115" spans="1:7" x14ac:dyDescent="0.25">
      <c r="A115" s="21" t="s">
        <v>331</v>
      </c>
      <c r="B115" s="21" t="s">
        <v>314</v>
      </c>
      <c r="C115" s="26">
        <v>62273</v>
      </c>
      <c r="D115" s="26" t="s">
        <v>314</v>
      </c>
      <c r="E115" s="21" t="s">
        <v>314</v>
      </c>
      <c r="F115" s="27"/>
      <c r="G115" s="28"/>
    </row>
    <row r="116" spans="1:7" x14ac:dyDescent="0.25">
      <c r="A116" s="21" t="s">
        <v>332</v>
      </c>
      <c r="B116" s="21" t="s">
        <v>314</v>
      </c>
      <c r="C116" s="26">
        <v>22297</v>
      </c>
      <c r="D116" s="26" t="s">
        <v>314</v>
      </c>
      <c r="E116" s="21" t="s">
        <v>314</v>
      </c>
      <c r="F116" s="27"/>
      <c r="G116" s="28"/>
    </row>
    <row r="117" spans="1:7" x14ac:dyDescent="0.25">
      <c r="A117" s="21" t="s">
        <v>333</v>
      </c>
      <c r="B117" s="21" t="s">
        <v>314</v>
      </c>
      <c r="C117" s="26">
        <v>52582</v>
      </c>
      <c r="D117" s="26" t="s">
        <v>314</v>
      </c>
      <c r="E117" s="21" t="s">
        <v>314</v>
      </c>
      <c r="F117" s="27"/>
      <c r="G117" s="28"/>
    </row>
    <row r="118" spans="1:7" x14ac:dyDescent="0.25">
      <c r="A118" s="21" t="s">
        <v>334</v>
      </c>
      <c r="B118" s="21" t="s">
        <v>314</v>
      </c>
      <c r="C118" s="26">
        <v>50673</v>
      </c>
      <c r="D118" s="26" t="s">
        <v>314</v>
      </c>
      <c r="E118" s="21" t="s">
        <v>314</v>
      </c>
      <c r="F118" s="27"/>
      <c r="G118" s="28"/>
    </row>
    <row r="119" spans="1:7" x14ac:dyDescent="0.25">
      <c r="A119" s="21" t="s">
        <v>335</v>
      </c>
      <c r="B119" s="21" t="s">
        <v>314</v>
      </c>
      <c r="C119" s="26">
        <v>42420</v>
      </c>
      <c r="D119" s="26" t="s">
        <v>314</v>
      </c>
      <c r="E119" s="21" t="s">
        <v>314</v>
      </c>
      <c r="F119" s="27"/>
      <c r="G119" s="28"/>
    </row>
    <row r="120" spans="1:7" x14ac:dyDescent="0.25">
      <c r="A120" s="21" t="s">
        <v>336</v>
      </c>
      <c r="B120" s="21" t="s">
        <v>314</v>
      </c>
      <c r="C120" s="26">
        <v>91974</v>
      </c>
      <c r="D120" s="26" t="s">
        <v>314</v>
      </c>
      <c r="E120" s="21" t="s">
        <v>314</v>
      </c>
      <c r="F120" s="27"/>
      <c r="G120" s="28"/>
    </row>
    <row r="121" spans="1:7" x14ac:dyDescent="0.25">
      <c r="A121" s="21" t="s">
        <v>337</v>
      </c>
      <c r="B121" s="21" t="s">
        <v>314</v>
      </c>
      <c r="C121" s="26">
        <v>83485</v>
      </c>
      <c r="D121" s="26" t="s">
        <v>314</v>
      </c>
      <c r="E121" s="21" t="s">
        <v>314</v>
      </c>
      <c r="F121" s="27"/>
      <c r="G121" s="28"/>
    </row>
    <row r="122" spans="1:7" x14ac:dyDescent="0.25">
      <c r="A122" s="21" t="s">
        <v>338</v>
      </c>
      <c r="B122" s="21" t="s">
        <v>314</v>
      </c>
      <c r="C122" s="26">
        <v>94501</v>
      </c>
      <c r="D122" s="26" t="s">
        <v>314</v>
      </c>
      <c r="E122" s="21" t="s">
        <v>314</v>
      </c>
      <c r="F122" s="27"/>
      <c r="G122" s="28"/>
    </row>
    <row r="123" spans="1:7" x14ac:dyDescent="0.25">
      <c r="A123" s="21" t="s">
        <v>339</v>
      </c>
      <c r="B123" s="21" t="s">
        <v>314</v>
      </c>
      <c r="C123" s="26">
        <v>99173</v>
      </c>
      <c r="D123" s="26" t="s">
        <v>314</v>
      </c>
      <c r="E123" s="21" t="s">
        <v>314</v>
      </c>
      <c r="F123" s="27"/>
      <c r="G123" s="28"/>
    </row>
    <row r="124" spans="1:7" x14ac:dyDescent="0.25">
      <c r="A124" s="21" t="s">
        <v>340</v>
      </c>
      <c r="B124" s="21" t="s">
        <v>314</v>
      </c>
      <c r="C124" s="26">
        <v>71651</v>
      </c>
      <c r="D124" s="26" t="s">
        <v>314</v>
      </c>
      <c r="E124" s="21" t="s">
        <v>314</v>
      </c>
      <c r="F124" s="27"/>
      <c r="G124" s="28"/>
    </row>
    <row r="125" spans="1:7" x14ac:dyDescent="0.25">
      <c r="A125" s="21" t="s">
        <v>341</v>
      </c>
      <c r="B125" s="21" t="s">
        <v>314</v>
      </c>
      <c r="C125" s="26">
        <v>24389</v>
      </c>
      <c r="D125" s="26" t="s">
        <v>314</v>
      </c>
      <c r="E125" s="21" t="s">
        <v>314</v>
      </c>
      <c r="F125" s="27"/>
      <c r="G125" s="28"/>
    </row>
    <row r="126" spans="1:7" x14ac:dyDescent="0.25">
      <c r="A126" s="21" t="s">
        <v>342</v>
      </c>
      <c r="B126" s="21" t="s">
        <v>314</v>
      </c>
      <c r="C126" s="26">
        <v>86632</v>
      </c>
      <c r="D126" s="26" t="s">
        <v>314</v>
      </c>
      <c r="E126" s="21" t="s">
        <v>314</v>
      </c>
      <c r="F126" s="27"/>
      <c r="G126" s="28"/>
    </row>
    <row r="127" spans="1:7" x14ac:dyDescent="0.25">
      <c r="A127" s="21" t="s">
        <v>343</v>
      </c>
      <c r="B127" s="21" t="s">
        <v>314</v>
      </c>
      <c r="C127" s="26">
        <v>90833</v>
      </c>
      <c r="D127" s="26" t="s">
        <v>314</v>
      </c>
      <c r="E127" s="21" t="s">
        <v>314</v>
      </c>
      <c r="F127" s="27"/>
      <c r="G127" s="28"/>
    </row>
    <row r="128" spans="1:7" x14ac:dyDescent="0.25">
      <c r="A128" s="21" t="s">
        <v>344</v>
      </c>
      <c r="B128" s="21" t="s">
        <v>314</v>
      </c>
      <c r="C128" s="26">
        <v>24538</v>
      </c>
      <c r="D128" s="26" t="s">
        <v>314</v>
      </c>
      <c r="E128" s="21" t="s">
        <v>314</v>
      </c>
      <c r="F128" s="27"/>
      <c r="G128" s="28"/>
    </row>
    <row r="129" spans="1:7" x14ac:dyDescent="0.25">
      <c r="A129" s="21" t="s">
        <v>345</v>
      </c>
      <c r="B129" s="21" t="s">
        <v>314</v>
      </c>
      <c r="C129" s="26">
        <v>80201</v>
      </c>
      <c r="D129" s="26" t="s">
        <v>314</v>
      </c>
      <c r="E129" s="21" t="s">
        <v>314</v>
      </c>
      <c r="F129" s="27"/>
      <c r="G129" s="28"/>
    </row>
    <row r="130" spans="1:7" x14ac:dyDescent="0.25">
      <c r="A130" s="21" t="s">
        <v>346</v>
      </c>
      <c r="B130" s="21" t="s">
        <v>314</v>
      </c>
      <c r="C130" s="26">
        <v>13670</v>
      </c>
      <c r="D130" s="26" t="s">
        <v>314</v>
      </c>
      <c r="E130" s="21" t="s">
        <v>314</v>
      </c>
      <c r="F130" s="27"/>
      <c r="G130" s="28"/>
    </row>
    <row r="131" spans="1:7" x14ac:dyDescent="0.25">
      <c r="A131" s="21" t="s">
        <v>347</v>
      </c>
      <c r="B131" s="21" t="s">
        <v>314</v>
      </c>
      <c r="C131" s="26">
        <v>30795</v>
      </c>
      <c r="D131" s="26" t="s">
        <v>314</v>
      </c>
      <c r="E131" s="21" t="s">
        <v>314</v>
      </c>
      <c r="F131" s="27"/>
      <c r="G131" s="28"/>
    </row>
    <row r="132" spans="1:7" x14ac:dyDescent="0.25">
      <c r="A132" s="21" t="s">
        <v>348</v>
      </c>
      <c r="B132" s="21" t="s">
        <v>314</v>
      </c>
      <c r="C132" s="26">
        <v>15727</v>
      </c>
      <c r="D132" s="26" t="s">
        <v>314</v>
      </c>
      <c r="E132" s="21" t="s">
        <v>314</v>
      </c>
      <c r="F132" s="27"/>
      <c r="G132" s="28"/>
    </row>
    <row r="133" spans="1:7" x14ac:dyDescent="0.25">
      <c r="A133" s="21" t="s">
        <v>349</v>
      </c>
      <c r="B133" s="21" t="s">
        <v>314</v>
      </c>
      <c r="C133" s="26">
        <v>84314</v>
      </c>
      <c r="D133" s="26" t="s">
        <v>314</v>
      </c>
      <c r="E133" s="21" t="s">
        <v>314</v>
      </c>
      <c r="F133" s="27"/>
      <c r="G133" s="28"/>
    </row>
    <row r="134" spans="1:7" x14ac:dyDescent="0.25">
      <c r="A134" s="21" t="s">
        <v>351</v>
      </c>
      <c r="B134" s="21" t="s">
        <v>314</v>
      </c>
      <c r="C134" s="26">
        <v>82406</v>
      </c>
      <c r="D134" s="26" t="s">
        <v>314</v>
      </c>
      <c r="E134" s="21" t="s">
        <v>314</v>
      </c>
      <c r="F134" s="27"/>
      <c r="G134" s="28"/>
    </row>
    <row r="135" spans="1:7" x14ac:dyDescent="0.25">
      <c r="A135" s="21" t="s">
        <v>352</v>
      </c>
      <c r="B135" s="21" t="s">
        <v>314</v>
      </c>
      <c r="C135" s="26">
        <v>60758</v>
      </c>
      <c r="D135" s="26" t="s">
        <v>314</v>
      </c>
      <c r="E135" s="21" t="s">
        <v>314</v>
      </c>
      <c r="F135" s="27"/>
      <c r="G135" s="28"/>
    </row>
    <row r="136" spans="1:7" x14ac:dyDescent="0.25">
      <c r="A136" s="21" t="s">
        <v>353</v>
      </c>
      <c r="B136" s="21" t="s">
        <v>314</v>
      </c>
      <c r="C136" s="26">
        <v>58614</v>
      </c>
      <c r="D136" s="26" t="s">
        <v>314</v>
      </c>
      <c r="E136" s="21" t="s">
        <v>314</v>
      </c>
      <c r="F136" s="27"/>
      <c r="G136" s="28"/>
    </row>
    <row r="137" spans="1:7" x14ac:dyDescent="0.25">
      <c r="A137" s="21" t="s">
        <v>354</v>
      </c>
      <c r="B137" s="21" t="s">
        <v>314</v>
      </c>
      <c r="C137" s="26">
        <v>50125</v>
      </c>
      <c r="D137" s="26" t="s">
        <v>314</v>
      </c>
      <c r="E137" s="21" t="s">
        <v>314</v>
      </c>
      <c r="F137" s="27"/>
      <c r="G137" s="28"/>
    </row>
    <row r="138" spans="1:7" x14ac:dyDescent="0.25">
      <c r="A138" s="21" t="s">
        <v>355</v>
      </c>
      <c r="B138" s="21" t="s">
        <v>314</v>
      </c>
      <c r="C138" s="26">
        <v>99444</v>
      </c>
      <c r="D138" s="26" t="s">
        <v>314</v>
      </c>
      <c r="E138" s="21" t="s">
        <v>314</v>
      </c>
      <c r="F138" s="27"/>
      <c r="G138" s="28"/>
    </row>
    <row r="139" spans="1:7" x14ac:dyDescent="0.25">
      <c r="A139" s="21" t="s">
        <v>356</v>
      </c>
      <c r="B139" s="21" t="s">
        <v>314</v>
      </c>
      <c r="C139" s="26">
        <v>52418</v>
      </c>
      <c r="D139" s="26" t="s">
        <v>314</v>
      </c>
      <c r="E139" s="21" t="s">
        <v>314</v>
      </c>
      <c r="F139" s="27"/>
      <c r="G139" s="28"/>
    </row>
    <row r="140" spans="1:7" x14ac:dyDescent="0.25">
      <c r="A140" s="21" t="s">
        <v>357</v>
      </c>
      <c r="B140" s="21" t="s">
        <v>314</v>
      </c>
      <c r="C140" s="26">
        <v>11501</v>
      </c>
      <c r="D140" s="26" t="s">
        <v>314</v>
      </c>
      <c r="E140" s="21" t="s">
        <v>314</v>
      </c>
      <c r="F140" s="27"/>
      <c r="G140" s="28"/>
    </row>
    <row r="141" spans="1:7" x14ac:dyDescent="0.25">
      <c r="A141" s="21" t="s">
        <v>358</v>
      </c>
      <c r="B141" s="21" t="s">
        <v>314</v>
      </c>
      <c r="C141" s="26">
        <v>99239</v>
      </c>
      <c r="D141" s="26" t="s">
        <v>314</v>
      </c>
      <c r="E141" s="21" t="s">
        <v>314</v>
      </c>
      <c r="F141" s="27"/>
      <c r="G141" s="28"/>
    </row>
    <row r="142" spans="1:7" x14ac:dyDescent="0.25">
      <c r="A142" s="21" t="s">
        <v>359</v>
      </c>
      <c r="B142" s="21" t="s">
        <v>314</v>
      </c>
      <c r="C142" s="26">
        <v>64784</v>
      </c>
      <c r="D142" s="26" t="s">
        <v>314</v>
      </c>
      <c r="E142" s="21" t="s">
        <v>314</v>
      </c>
      <c r="F142" s="27"/>
      <c r="G142" s="28"/>
    </row>
    <row r="143" spans="1:7" x14ac:dyDescent="0.25">
      <c r="A143" s="21" t="s">
        <v>360</v>
      </c>
      <c r="B143" s="21" t="s">
        <v>314</v>
      </c>
      <c r="C143" s="26">
        <v>23985</v>
      </c>
      <c r="D143" s="26" t="s">
        <v>314</v>
      </c>
      <c r="E143" s="21" t="s">
        <v>314</v>
      </c>
      <c r="F143" s="27"/>
      <c r="G143" s="28"/>
    </row>
    <row r="144" spans="1:7" x14ac:dyDescent="0.25">
      <c r="A144" s="21" t="s">
        <v>361</v>
      </c>
      <c r="B144" s="21" t="s">
        <v>314</v>
      </c>
      <c r="C144" s="26">
        <v>40992</v>
      </c>
      <c r="D144" s="26" t="s">
        <v>314</v>
      </c>
      <c r="E144" s="21" t="s">
        <v>314</v>
      </c>
      <c r="F144" s="27"/>
      <c r="G144" s="28"/>
    </row>
    <row r="145" spans="1:7" x14ac:dyDescent="0.25">
      <c r="A145" s="21" t="s">
        <v>362</v>
      </c>
      <c r="B145" s="21" t="s">
        <v>314</v>
      </c>
      <c r="C145" s="26">
        <v>89958</v>
      </c>
      <c r="D145" s="26" t="s">
        <v>314</v>
      </c>
      <c r="E145" s="21" t="s">
        <v>314</v>
      </c>
      <c r="F145" s="27"/>
      <c r="G145" s="28"/>
    </row>
    <row r="146" spans="1:7" x14ac:dyDescent="0.25">
      <c r="A146" s="21" t="s">
        <v>363</v>
      </c>
      <c r="B146" s="21" t="s">
        <v>314</v>
      </c>
      <c r="C146" s="26">
        <v>30125</v>
      </c>
      <c r="D146" s="26" t="s">
        <v>314</v>
      </c>
      <c r="E146" s="21" t="s">
        <v>314</v>
      </c>
      <c r="F146" s="27"/>
      <c r="G146" s="28"/>
    </row>
    <row r="147" spans="1:7" x14ac:dyDescent="0.25">
      <c r="A147" s="21" t="s">
        <v>364</v>
      </c>
      <c r="B147" s="21" t="s">
        <v>314</v>
      </c>
      <c r="C147" s="26">
        <v>40552</v>
      </c>
      <c r="D147" s="26" t="s">
        <v>314</v>
      </c>
      <c r="E147" s="21" t="s">
        <v>314</v>
      </c>
      <c r="F147" s="27"/>
      <c r="G147" s="28"/>
    </row>
    <row r="148" spans="1:7" x14ac:dyDescent="0.25">
      <c r="A148" s="21" t="s">
        <v>365</v>
      </c>
      <c r="B148" s="21" t="s">
        <v>314</v>
      </c>
      <c r="C148" s="26">
        <v>70484</v>
      </c>
      <c r="D148" s="26" t="s">
        <v>314</v>
      </c>
      <c r="E148" s="21" t="s">
        <v>314</v>
      </c>
      <c r="F148" s="27"/>
      <c r="G148" s="28"/>
    </row>
    <row r="149" spans="1:7" x14ac:dyDescent="0.25">
      <c r="A149" s="21" t="s">
        <v>366</v>
      </c>
      <c r="B149" s="21" t="s">
        <v>314</v>
      </c>
      <c r="C149" s="26">
        <v>42374</v>
      </c>
      <c r="D149" s="26" t="s">
        <v>314</v>
      </c>
      <c r="E149" s="21" t="s">
        <v>314</v>
      </c>
      <c r="F149" s="27"/>
      <c r="G149" s="28"/>
    </row>
    <row r="150" spans="1:7" x14ac:dyDescent="0.25">
      <c r="A150" s="21" t="s">
        <v>367</v>
      </c>
      <c r="B150" s="21" t="s">
        <v>314</v>
      </c>
      <c r="C150" s="26">
        <v>33768</v>
      </c>
      <c r="D150" s="26" t="s">
        <v>314</v>
      </c>
      <c r="E150" s="21" t="s">
        <v>314</v>
      </c>
      <c r="F150" s="27"/>
      <c r="G150" s="28"/>
    </row>
    <row r="151" spans="1:7" x14ac:dyDescent="0.25">
      <c r="A151" s="21" t="s">
        <v>368</v>
      </c>
      <c r="B151" s="21" t="s">
        <v>314</v>
      </c>
      <c r="C151" s="26">
        <v>57120</v>
      </c>
      <c r="D151" s="26" t="s">
        <v>314</v>
      </c>
      <c r="E151" s="21" t="s">
        <v>314</v>
      </c>
      <c r="F151" s="27"/>
      <c r="G151" s="28"/>
    </row>
    <row r="152" spans="1:7" x14ac:dyDescent="0.25">
      <c r="A152" s="21" t="s">
        <v>369</v>
      </c>
      <c r="B152" s="21" t="s">
        <v>314</v>
      </c>
      <c r="C152" s="26">
        <v>99976</v>
      </c>
      <c r="D152" s="26" t="s">
        <v>314</v>
      </c>
      <c r="E152" s="21" t="s">
        <v>314</v>
      </c>
      <c r="F152" s="27"/>
      <c r="G152" s="28"/>
    </row>
    <row r="153" spans="1:7" x14ac:dyDescent="0.25">
      <c r="A153" s="21" t="s">
        <v>370</v>
      </c>
      <c r="B153" s="21" t="s">
        <v>314</v>
      </c>
      <c r="C153" s="26">
        <v>84790</v>
      </c>
      <c r="D153" s="26" t="s">
        <v>314</v>
      </c>
      <c r="E153" s="21" t="s">
        <v>314</v>
      </c>
      <c r="F153" s="27"/>
      <c r="G153" s="28"/>
    </row>
    <row r="154" spans="1:7" x14ac:dyDescent="0.25">
      <c r="A154" s="21" t="s">
        <v>371</v>
      </c>
      <c r="B154" s="21" t="s">
        <v>314</v>
      </c>
      <c r="C154" s="26">
        <v>89108</v>
      </c>
      <c r="D154" s="26" t="s">
        <v>314</v>
      </c>
      <c r="E154" s="21" t="s">
        <v>314</v>
      </c>
      <c r="F154" s="27"/>
      <c r="G154" s="28"/>
    </row>
    <row r="155" spans="1:7" x14ac:dyDescent="0.25">
      <c r="A155" s="21" t="s">
        <v>372</v>
      </c>
      <c r="B155" s="21" t="s">
        <v>314</v>
      </c>
      <c r="C155" s="26">
        <v>73687</v>
      </c>
      <c r="D155" s="26" t="s">
        <v>314</v>
      </c>
      <c r="E155" s="21" t="s">
        <v>314</v>
      </c>
      <c r="F155" s="27"/>
      <c r="G155" s="28"/>
    </row>
    <row r="156" spans="1:7" x14ac:dyDescent="0.25">
      <c r="A156" s="21" t="s">
        <v>373</v>
      </c>
      <c r="B156" s="21" t="s">
        <v>314</v>
      </c>
      <c r="C156" s="26">
        <v>75508</v>
      </c>
      <c r="D156" s="26" t="s">
        <v>314</v>
      </c>
      <c r="E156" s="21" t="s">
        <v>314</v>
      </c>
      <c r="F156" s="27"/>
      <c r="G156" s="28"/>
    </row>
    <row r="157" spans="1:7" x14ac:dyDescent="0.25">
      <c r="A157" s="21" t="s">
        <v>374</v>
      </c>
      <c r="B157" s="21" t="s">
        <v>314</v>
      </c>
      <c r="C157" s="26">
        <v>92751</v>
      </c>
      <c r="D157" s="26" t="s">
        <v>314</v>
      </c>
      <c r="E157" s="21" t="s">
        <v>314</v>
      </c>
      <c r="F157" s="27"/>
      <c r="G157" s="28"/>
    </row>
    <row r="158" spans="1:7" x14ac:dyDescent="0.25">
      <c r="A158" s="21" t="s">
        <v>376</v>
      </c>
      <c r="B158" s="21" t="s">
        <v>314</v>
      </c>
      <c r="C158" s="26">
        <v>90254</v>
      </c>
      <c r="D158" s="26" t="s">
        <v>314</v>
      </c>
      <c r="E158" s="21" t="s">
        <v>314</v>
      </c>
      <c r="F158" s="27"/>
      <c r="G158" s="28"/>
    </row>
    <row r="159" spans="1:7" x14ac:dyDescent="0.25">
      <c r="A159" s="21" t="s">
        <v>377</v>
      </c>
      <c r="B159" s="21" t="s">
        <v>314</v>
      </c>
      <c r="C159" s="26">
        <v>68959</v>
      </c>
      <c r="D159" s="26" t="s">
        <v>314</v>
      </c>
      <c r="E159" s="21" t="s">
        <v>314</v>
      </c>
      <c r="F159" s="27"/>
      <c r="G159" s="28"/>
    </row>
    <row r="160" spans="1:7" x14ac:dyDescent="0.25">
      <c r="A160" s="21" t="s">
        <v>378</v>
      </c>
      <c r="B160" s="21" t="s">
        <v>314</v>
      </c>
      <c r="C160" s="26">
        <v>27924</v>
      </c>
      <c r="D160" s="26" t="s">
        <v>314</v>
      </c>
      <c r="E160" s="21" t="s">
        <v>314</v>
      </c>
      <c r="F160" s="27"/>
      <c r="G160" s="28"/>
    </row>
    <row r="161" spans="1:7" x14ac:dyDescent="0.25">
      <c r="A161" s="21" t="s">
        <v>379</v>
      </c>
      <c r="B161" s="21" t="s">
        <v>314</v>
      </c>
      <c r="C161" s="26">
        <v>96394</v>
      </c>
      <c r="D161" s="26" t="s">
        <v>314</v>
      </c>
      <c r="E161" s="21" t="s">
        <v>314</v>
      </c>
      <c r="F161" s="27"/>
      <c r="G161" s="28"/>
    </row>
    <row r="162" spans="1:7" x14ac:dyDescent="0.25">
      <c r="A162" s="21" t="s">
        <v>380</v>
      </c>
      <c r="B162" s="21" t="s">
        <v>314</v>
      </c>
      <c r="C162" s="26">
        <v>16822</v>
      </c>
      <c r="D162" s="26" t="s">
        <v>314</v>
      </c>
      <c r="E162" s="21" t="s">
        <v>314</v>
      </c>
      <c r="F162" s="27"/>
      <c r="G162" s="28"/>
    </row>
    <row r="163" spans="1:7" x14ac:dyDescent="0.25">
      <c r="A163" s="21" t="s">
        <v>381</v>
      </c>
      <c r="B163" s="21" t="s">
        <v>314</v>
      </c>
      <c r="C163" s="26">
        <v>98451</v>
      </c>
      <c r="D163" s="26" t="s">
        <v>314</v>
      </c>
      <c r="E163" s="21" t="s">
        <v>314</v>
      </c>
      <c r="F163" s="27"/>
      <c r="G163" s="28"/>
    </row>
    <row r="164" spans="1:7" x14ac:dyDescent="0.25">
      <c r="A164" s="21" t="s">
        <v>382</v>
      </c>
      <c r="B164" s="21" t="s">
        <v>314</v>
      </c>
      <c r="C164" s="26">
        <v>70341</v>
      </c>
      <c r="D164" s="26" t="s">
        <v>314</v>
      </c>
      <c r="E164" s="21" t="s">
        <v>314</v>
      </c>
      <c r="F164" s="27"/>
      <c r="G164" s="28"/>
    </row>
    <row r="165" spans="1:7" x14ac:dyDescent="0.25">
      <c r="A165" s="21" t="s">
        <v>383</v>
      </c>
      <c r="B165" s="21" t="s">
        <v>314</v>
      </c>
      <c r="C165" s="26">
        <v>61735</v>
      </c>
      <c r="D165" s="26" t="s">
        <v>314</v>
      </c>
      <c r="E165" s="21" t="s">
        <v>314</v>
      </c>
      <c r="F165" s="27"/>
      <c r="G165" s="28"/>
    </row>
    <row r="166" spans="1:7" x14ac:dyDescent="0.25">
      <c r="A166" s="21" t="s">
        <v>384</v>
      </c>
      <c r="B166" s="21" t="s">
        <v>314</v>
      </c>
      <c r="C166" s="26">
        <v>85086</v>
      </c>
      <c r="D166" s="26" t="s">
        <v>314</v>
      </c>
      <c r="E166" s="21" t="s">
        <v>314</v>
      </c>
      <c r="F166" s="27"/>
      <c r="G166" s="28"/>
    </row>
    <row r="167" spans="1:7" x14ac:dyDescent="0.25">
      <c r="A167" s="21" t="s">
        <v>385</v>
      </c>
      <c r="B167" s="21" t="s">
        <v>314</v>
      </c>
      <c r="C167" s="26">
        <v>37943</v>
      </c>
      <c r="D167" s="26" t="s">
        <v>314</v>
      </c>
      <c r="E167" s="21" t="s">
        <v>314</v>
      </c>
      <c r="F167" s="27"/>
      <c r="G167" s="28"/>
    </row>
    <row r="168" spans="1:7" x14ac:dyDescent="0.25">
      <c r="A168" s="21" t="s">
        <v>386</v>
      </c>
      <c r="B168" s="21" t="s">
        <v>314</v>
      </c>
      <c r="C168" s="26">
        <v>61059</v>
      </c>
      <c r="D168" s="26" t="s">
        <v>314</v>
      </c>
      <c r="E168" s="21" t="s">
        <v>314</v>
      </c>
      <c r="F168" s="27"/>
      <c r="G168" s="28"/>
    </row>
    <row r="169" spans="1:7" x14ac:dyDescent="0.25">
      <c r="A169" s="21" t="s">
        <v>387</v>
      </c>
      <c r="B169" s="21" t="s">
        <v>314</v>
      </c>
      <c r="C169" s="26">
        <v>65377</v>
      </c>
      <c r="D169" s="26" t="s">
        <v>314</v>
      </c>
      <c r="E169" s="21" t="s">
        <v>314</v>
      </c>
      <c r="F169" s="27"/>
      <c r="G169" s="28"/>
    </row>
    <row r="170" spans="1:7" x14ac:dyDescent="0.25">
      <c r="A170" s="21" t="s">
        <v>388</v>
      </c>
      <c r="B170" s="21" t="s">
        <v>314</v>
      </c>
      <c r="C170" s="26">
        <v>11654</v>
      </c>
      <c r="D170" s="26" t="s">
        <v>314</v>
      </c>
      <c r="E170" s="21" t="s">
        <v>314</v>
      </c>
      <c r="F170" s="27"/>
      <c r="G170" s="28"/>
    </row>
    <row r="171" spans="1:7" x14ac:dyDescent="0.25">
      <c r="A171" s="21" t="s">
        <v>389</v>
      </c>
      <c r="B171" s="21" t="s">
        <v>314</v>
      </c>
      <c r="C171" s="26">
        <v>67434</v>
      </c>
      <c r="D171" s="26" t="s">
        <v>314</v>
      </c>
      <c r="E171" s="21" t="s">
        <v>314</v>
      </c>
      <c r="F171" s="27"/>
      <c r="G171" s="28"/>
    </row>
    <row r="172" spans="1:7" x14ac:dyDescent="0.25">
      <c r="A172" s="21" t="s">
        <v>390</v>
      </c>
      <c r="B172" s="21" t="s">
        <v>314</v>
      </c>
      <c r="C172" s="26">
        <v>35975</v>
      </c>
      <c r="D172" s="26" t="s">
        <v>314</v>
      </c>
      <c r="E172" s="21" t="s">
        <v>314</v>
      </c>
      <c r="F172" s="27"/>
      <c r="G172" s="28"/>
    </row>
    <row r="173" spans="1:7" x14ac:dyDescent="0.25">
      <c r="A173" s="21" t="s">
        <v>391</v>
      </c>
      <c r="B173" s="21" t="s">
        <v>314</v>
      </c>
      <c r="C173" s="26">
        <v>24020</v>
      </c>
      <c r="D173" s="26" t="s">
        <v>314</v>
      </c>
      <c r="E173" s="21" t="s">
        <v>314</v>
      </c>
      <c r="F173" s="27"/>
      <c r="G173" s="28"/>
    </row>
    <row r="174" spans="1:7" x14ac:dyDescent="0.25">
      <c r="A174" s="21" t="s">
        <v>392</v>
      </c>
      <c r="B174" s="21" t="s">
        <v>314</v>
      </c>
      <c r="C174" s="26">
        <v>44024</v>
      </c>
      <c r="D174" s="26" t="s">
        <v>314</v>
      </c>
      <c r="E174" s="21" t="s">
        <v>314</v>
      </c>
      <c r="F174" s="27"/>
      <c r="G174" s="28"/>
    </row>
    <row r="175" spans="1:7" x14ac:dyDescent="0.25">
      <c r="A175" s="21" t="s">
        <v>393</v>
      </c>
      <c r="B175" s="21" t="s">
        <v>314</v>
      </c>
      <c r="C175" s="26">
        <v>83531</v>
      </c>
      <c r="D175" s="26" t="s">
        <v>314</v>
      </c>
      <c r="E175" s="21" t="s">
        <v>314</v>
      </c>
      <c r="F175" s="27"/>
      <c r="G175" s="28"/>
    </row>
    <row r="176" spans="1:7" x14ac:dyDescent="0.25">
      <c r="A176" s="21" t="s">
        <v>394</v>
      </c>
      <c r="B176" s="21" t="s">
        <v>314</v>
      </c>
      <c r="C176" s="26">
        <v>26694</v>
      </c>
      <c r="D176" s="26" t="s">
        <v>314</v>
      </c>
      <c r="E176" s="21" t="s">
        <v>314</v>
      </c>
      <c r="F176" s="27"/>
      <c r="G176" s="28"/>
    </row>
    <row r="177" spans="1:7" x14ac:dyDescent="0.25">
      <c r="A177" s="21" t="s">
        <v>395</v>
      </c>
      <c r="B177" s="21" t="s">
        <v>314</v>
      </c>
      <c r="C177" s="26">
        <v>65966</v>
      </c>
      <c r="D177" s="26" t="s">
        <v>314</v>
      </c>
      <c r="E177" s="21" t="s">
        <v>314</v>
      </c>
      <c r="F177" s="27"/>
      <c r="G177" s="28"/>
    </row>
    <row r="178" spans="1:7" x14ac:dyDescent="0.25">
      <c r="A178" s="21" t="s">
        <v>396</v>
      </c>
      <c r="B178" s="21" t="s">
        <v>314</v>
      </c>
      <c r="C178" s="26">
        <v>98893</v>
      </c>
      <c r="D178" s="26" t="s">
        <v>314</v>
      </c>
      <c r="E178" s="21" t="s">
        <v>314</v>
      </c>
      <c r="F178" s="27"/>
      <c r="G178" s="28"/>
    </row>
    <row r="179" spans="1:7" x14ac:dyDescent="0.25">
      <c r="A179" s="21" t="s">
        <v>397</v>
      </c>
      <c r="B179" s="21" t="s">
        <v>314</v>
      </c>
      <c r="C179" s="26">
        <v>61325</v>
      </c>
      <c r="D179" s="26" t="s">
        <v>314</v>
      </c>
      <c r="E179" s="21" t="s">
        <v>314</v>
      </c>
      <c r="F179" s="27"/>
      <c r="G179" s="28"/>
    </row>
    <row r="180" spans="1:7" x14ac:dyDescent="0.25">
      <c r="A180" s="21" t="s">
        <v>398</v>
      </c>
      <c r="B180" s="21" t="s">
        <v>314</v>
      </c>
      <c r="C180" s="26">
        <v>55715</v>
      </c>
      <c r="D180" s="26" t="s">
        <v>314</v>
      </c>
      <c r="E180" s="21" t="s">
        <v>314</v>
      </c>
      <c r="F180" s="27"/>
      <c r="G180" s="28"/>
    </row>
    <row r="181" spans="1:7" x14ac:dyDescent="0.25">
      <c r="A181" s="21" t="s">
        <v>399</v>
      </c>
      <c r="B181" s="21" t="s">
        <v>314</v>
      </c>
      <c r="C181" s="26">
        <v>17911</v>
      </c>
      <c r="D181" s="26" t="s">
        <v>314</v>
      </c>
      <c r="E181" s="21" t="s">
        <v>314</v>
      </c>
      <c r="F181" s="27"/>
      <c r="G181" s="28"/>
    </row>
    <row r="182" spans="1:7" x14ac:dyDescent="0.25">
      <c r="A182" s="21" t="s">
        <v>400</v>
      </c>
      <c r="B182" s="21" t="s">
        <v>314</v>
      </c>
      <c r="C182" s="26">
        <v>63763</v>
      </c>
      <c r="D182" s="26" t="s">
        <v>314</v>
      </c>
      <c r="E182" s="21" t="s">
        <v>314</v>
      </c>
      <c r="F182" s="27"/>
      <c r="G182" s="28"/>
    </row>
    <row r="272" spans="1:4" x14ac:dyDescent="0.25">
      <c r="A272" s="19"/>
      <c r="B272" s="19"/>
      <c r="C272" s="20"/>
      <c r="D272" s="20"/>
    </row>
    <row r="735" ht="13.35" customHeight="1" x14ac:dyDescent="0.25"/>
    <row r="982" spans="13:13" x14ac:dyDescent="0.25">
      <c r="M982" s="6"/>
    </row>
    <row r="983" spans="13:13" x14ac:dyDescent="0.25">
      <c r="M983" s="6"/>
    </row>
    <row r="984" spans="13:13" x14ac:dyDescent="0.25">
      <c r="M984" s="6"/>
    </row>
    <row r="985" spans="13:13" x14ac:dyDescent="0.25">
      <c r="M985" s="6"/>
    </row>
    <row r="986" spans="13:13" x14ac:dyDescent="0.25">
      <c r="M986" s="6"/>
    </row>
    <row r="987" spans="13:13" x14ac:dyDescent="0.25">
      <c r="M987" s="6"/>
    </row>
    <row r="988" spans="13:13" x14ac:dyDescent="0.25">
      <c r="M988" s="6"/>
    </row>
    <row r="989" spans="13:13" x14ac:dyDescent="0.25">
      <c r="M989" s="6"/>
    </row>
    <row r="990" spans="13:13" x14ac:dyDescent="0.25">
      <c r="M990" s="6"/>
    </row>
    <row r="991" spans="13:13" x14ac:dyDescent="0.25">
      <c r="M991" s="6"/>
    </row>
    <row r="992" spans="13:13" x14ac:dyDescent="0.25">
      <c r="M992" s="6"/>
    </row>
    <row r="993" spans="13:13" x14ac:dyDescent="0.25">
      <c r="M993" s="6"/>
    </row>
    <row r="994" spans="13:13" x14ac:dyDescent="0.25">
      <c r="M994" s="6"/>
    </row>
    <row r="995" spans="13:13" x14ac:dyDescent="0.25">
      <c r="M995" s="6"/>
    </row>
    <row r="996" spans="13:13" x14ac:dyDescent="0.25">
      <c r="M996" s="6"/>
    </row>
    <row r="997" spans="13:13" x14ac:dyDescent="0.25">
      <c r="M997" s="6"/>
    </row>
    <row r="998" spans="13:13" x14ac:dyDescent="0.25">
      <c r="M998" s="6"/>
    </row>
    <row r="999" spans="13:13" x14ac:dyDescent="0.25">
      <c r="M999" s="6"/>
    </row>
    <row r="1000" spans="13:13" x14ac:dyDescent="0.25">
      <c r="M1000" s="6"/>
    </row>
    <row r="1001" spans="13:13" x14ac:dyDescent="0.25">
      <c r="M1001" s="6"/>
    </row>
    <row r="1002" spans="13:13" x14ac:dyDescent="0.25">
      <c r="M1002" s="6"/>
    </row>
    <row r="1003" spans="13:13" x14ac:dyDescent="0.25">
      <c r="M1003" s="6"/>
    </row>
    <row r="1004" spans="13:13" x14ac:dyDescent="0.25">
      <c r="M1004" s="6"/>
    </row>
    <row r="1005" spans="13:13" x14ac:dyDescent="0.25">
      <c r="M1005" s="6"/>
    </row>
    <row r="1006" spans="13:13" x14ac:dyDescent="0.25">
      <c r="M1006" s="6"/>
    </row>
    <row r="1007" spans="13:13" x14ac:dyDescent="0.25">
      <c r="M1007" s="6"/>
    </row>
    <row r="1008" spans="13:13" x14ac:dyDescent="0.25">
      <c r="M1008" s="6"/>
    </row>
    <row r="1009" spans="13:13" x14ac:dyDescent="0.25">
      <c r="M1009" s="6"/>
    </row>
    <row r="1010" spans="13:13" x14ac:dyDescent="0.25">
      <c r="M1010" s="6"/>
    </row>
    <row r="1011" spans="13:13" x14ac:dyDescent="0.25">
      <c r="M1011" s="6"/>
    </row>
    <row r="1012" spans="13:13" x14ac:dyDescent="0.25">
      <c r="M1012" s="6"/>
    </row>
    <row r="1013" spans="13:13" x14ac:dyDescent="0.25">
      <c r="M1013" s="6"/>
    </row>
    <row r="1014" spans="13:13" x14ac:dyDescent="0.25">
      <c r="M1014" s="6"/>
    </row>
    <row r="1015" spans="13:13" x14ac:dyDescent="0.25">
      <c r="M1015" s="6"/>
    </row>
    <row r="1016" spans="13:13" x14ac:dyDescent="0.25">
      <c r="M1016" s="6"/>
    </row>
    <row r="1017" spans="13:13" x14ac:dyDescent="0.25">
      <c r="M1017" s="6"/>
    </row>
    <row r="1018" spans="13:13" x14ac:dyDescent="0.25">
      <c r="M1018" s="6"/>
    </row>
    <row r="1019" spans="13:13" x14ac:dyDescent="0.25">
      <c r="M1019" s="6"/>
    </row>
    <row r="1020" spans="13:13" x14ac:dyDescent="0.25">
      <c r="M1020" s="6"/>
    </row>
    <row r="1021" spans="13:13" x14ac:dyDescent="0.25">
      <c r="M1021" s="6"/>
    </row>
    <row r="1022" spans="13:13" x14ac:dyDescent="0.25">
      <c r="M1022" s="6"/>
    </row>
    <row r="1023" spans="13:13" x14ac:dyDescent="0.25">
      <c r="M1023" s="6"/>
    </row>
    <row r="1024" spans="13:13" x14ac:dyDescent="0.25">
      <c r="M1024" s="6"/>
    </row>
    <row r="1025" spans="13:13" x14ac:dyDescent="0.25">
      <c r="M1025" s="6"/>
    </row>
    <row r="1026" spans="13:13" x14ac:dyDescent="0.25">
      <c r="M1026" s="6"/>
    </row>
    <row r="1027" spans="13:13" x14ac:dyDescent="0.25">
      <c r="M1027" s="6"/>
    </row>
    <row r="1028" spans="13:13" x14ac:dyDescent="0.25">
      <c r="M1028" s="6"/>
    </row>
    <row r="1029" spans="13:13" x14ac:dyDescent="0.25">
      <c r="M1029" s="6"/>
    </row>
    <row r="1030" spans="13:13" x14ac:dyDescent="0.25">
      <c r="M1030" s="6"/>
    </row>
    <row r="1031" spans="13:13" x14ac:dyDescent="0.25">
      <c r="M1031" s="6"/>
    </row>
    <row r="1032" spans="13:13" x14ac:dyDescent="0.25">
      <c r="M1032" s="6"/>
    </row>
    <row r="1033" spans="13:13" x14ac:dyDescent="0.25">
      <c r="M1033" s="6"/>
    </row>
    <row r="1034" spans="13:13" x14ac:dyDescent="0.25">
      <c r="M1034" s="6"/>
    </row>
    <row r="1035" spans="13:13" x14ac:dyDescent="0.25">
      <c r="M1035" s="6"/>
    </row>
    <row r="1036" spans="13:13" x14ac:dyDescent="0.25">
      <c r="M1036" s="6"/>
    </row>
    <row r="1037" spans="13:13" x14ac:dyDescent="0.25">
      <c r="M1037" s="6"/>
    </row>
    <row r="1038" spans="13:13" x14ac:dyDescent="0.25">
      <c r="M1038" s="6"/>
    </row>
    <row r="1039" spans="13:13" x14ac:dyDescent="0.25">
      <c r="M1039" s="6"/>
    </row>
    <row r="1040" spans="13:13" x14ac:dyDescent="0.25">
      <c r="M1040" s="6"/>
    </row>
    <row r="1041" spans="13:13" x14ac:dyDescent="0.25">
      <c r="M1041" s="6"/>
    </row>
    <row r="1042" spans="13:13" x14ac:dyDescent="0.25">
      <c r="M1042" s="6"/>
    </row>
    <row r="1043" spans="13:13" x14ac:dyDescent="0.25">
      <c r="M1043" s="6"/>
    </row>
    <row r="1044" spans="13:13" x14ac:dyDescent="0.25">
      <c r="M1044" s="6"/>
    </row>
    <row r="1045" spans="13:13" x14ac:dyDescent="0.25">
      <c r="M1045" s="6"/>
    </row>
    <row r="1046" spans="13:13" x14ac:dyDescent="0.25">
      <c r="M1046" s="6"/>
    </row>
    <row r="1047" spans="13:13" x14ac:dyDescent="0.25">
      <c r="M1047" s="6"/>
    </row>
    <row r="1048" spans="13:13" x14ac:dyDescent="0.25">
      <c r="M1048" s="6"/>
    </row>
    <row r="1049" spans="13:13" x14ac:dyDescent="0.25">
      <c r="M1049" s="6"/>
    </row>
    <row r="1050" spans="13:13" x14ac:dyDescent="0.25">
      <c r="M1050" s="6"/>
    </row>
    <row r="1051" spans="13:13" x14ac:dyDescent="0.25">
      <c r="M1051" s="6"/>
    </row>
    <row r="1052" spans="13:13" x14ac:dyDescent="0.25">
      <c r="M1052" s="6"/>
    </row>
    <row r="1053" spans="13:13" x14ac:dyDescent="0.25">
      <c r="M1053" s="6"/>
    </row>
    <row r="1054" spans="13:13" x14ac:dyDescent="0.25">
      <c r="M1054" s="6"/>
    </row>
    <row r="1055" spans="13:13" x14ac:dyDescent="0.25">
      <c r="M1055" s="6"/>
    </row>
    <row r="1056" spans="13:13" x14ac:dyDescent="0.25">
      <c r="M1056" s="6"/>
    </row>
    <row r="1057" spans="13:13" x14ac:dyDescent="0.25">
      <c r="M1057" s="6"/>
    </row>
    <row r="1058" spans="13:13" x14ac:dyDescent="0.25">
      <c r="M1058" s="6"/>
    </row>
    <row r="1059" spans="13:13" x14ac:dyDescent="0.25">
      <c r="M1059" s="6"/>
    </row>
    <row r="1060" spans="13:13" x14ac:dyDescent="0.25">
      <c r="M1060" s="6"/>
    </row>
    <row r="1061" spans="13:13" x14ac:dyDescent="0.25">
      <c r="M1061" s="6"/>
    </row>
    <row r="1062" spans="13:13" x14ac:dyDescent="0.25">
      <c r="M1062" s="6"/>
    </row>
    <row r="1063" spans="13:13" x14ac:dyDescent="0.25">
      <c r="M1063" s="6"/>
    </row>
    <row r="1064" spans="13:13" x14ac:dyDescent="0.25">
      <c r="M1064" s="6"/>
    </row>
    <row r="1065" spans="13:13" x14ac:dyDescent="0.25">
      <c r="M1065" s="6"/>
    </row>
    <row r="1066" spans="13:13" x14ac:dyDescent="0.25">
      <c r="M1066" s="6"/>
    </row>
    <row r="1067" spans="13:13" x14ac:dyDescent="0.25">
      <c r="M1067" s="6"/>
    </row>
    <row r="1068" spans="13:13" x14ac:dyDescent="0.25">
      <c r="M1068" s="6"/>
    </row>
    <row r="1069" spans="13:13" x14ac:dyDescent="0.25">
      <c r="M1069" s="6"/>
    </row>
    <row r="1070" spans="13:13" x14ac:dyDescent="0.25">
      <c r="M1070" s="6"/>
    </row>
    <row r="1071" spans="13:13" x14ac:dyDescent="0.25">
      <c r="M1071" s="6"/>
    </row>
    <row r="1072" spans="13:13" x14ac:dyDescent="0.25">
      <c r="M1072" s="6"/>
    </row>
    <row r="1073" spans="13:13" x14ac:dyDescent="0.25">
      <c r="M1073" s="6"/>
    </row>
    <row r="1074" spans="13:13" x14ac:dyDescent="0.25">
      <c r="M1074" s="6"/>
    </row>
    <row r="1075" spans="13:13" x14ac:dyDescent="0.25">
      <c r="M1075" s="6"/>
    </row>
    <row r="1076" spans="13:13" x14ac:dyDescent="0.25">
      <c r="M1076" s="6"/>
    </row>
    <row r="1077" spans="13:13" x14ac:dyDescent="0.25">
      <c r="M1077" s="6"/>
    </row>
    <row r="1078" spans="13:13" x14ac:dyDescent="0.25">
      <c r="M1078" s="6"/>
    </row>
    <row r="1079" spans="13:13" x14ac:dyDescent="0.25">
      <c r="M1079" s="6"/>
    </row>
    <row r="1080" spans="13:13" x14ac:dyDescent="0.25">
      <c r="M1080" s="6"/>
    </row>
    <row r="1081" spans="13:13" x14ac:dyDescent="0.25">
      <c r="M1081" s="6"/>
    </row>
    <row r="1082" spans="13:13" x14ac:dyDescent="0.25">
      <c r="M1082" s="6"/>
    </row>
    <row r="1083" spans="13:13" x14ac:dyDescent="0.25">
      <c r="M1083" s="6"/>
    </row>
    <row r="1084" spans="13:13" x14ac:dyDescent="0.25">
      <c r="M1084" s="6"/>
    </row>
    <row r="1085" spans="13:13" x14ac:dyDescent="0.25">
      <c r="M1085" s="6"/>
    </row>
    <row r="1086" spans="13:13" x14ac:dyDescent="0.25">
      <c r="M1086" s="6"/>
    </row>
    <row r="1087" spans="13:13" x14ac:dyDescent="0.25">
      <c r="M1087" s="6"/>
    </row>
    <row r="1088" spans="13:13" x14ac:dyDescent="0.25">
      <c r="M1088" s="6"/>
    </row>
    <row r="1089" spans="13:13" x14ac:dyDescent="0.25">
      <c r="M1089" s="6"/>
    </row>
    <row r="1090" spans="13:13" x14ac:dyDescent="0.25">
      <c r="M1090" s="6"/>
    </row>
    <row r="1091" spans="13:13" x14ac:dyDescent="0.25">
      <c r="M1091" s="6"/>
    </row>
    <row r="1092" spans="13:13" x14ac:dyDescent="0.25">
      <c r="M1092" s="6"/>
    </row>
    <row r="1093" spans="13:13" x14ac:dyDescent="0.25">
      <c r="M1093" s="6"/>
    </row>
    <row r="1094" spans="13:13" x14ac:dyDescent="0.25">
      <c r="M1094" s="6"/>
    </row>
    <row r="1095" spans="13:13" x14ac:dyDescent="0.25">
      <c r="M1095" s="6"/>
    </row>
    <row r="1096" spans="13:13" x14ac:dyDescent="0.25">
      <c r="M1096" s="6"/>
    </row>
    <row r="1097" spans="13:13" x14ac:dyDescent="0.25">
      <c r="M1097" s="6"/>
    </row>
    <row r="1098" spans="13:13" x14ac:dyDescent="0.25">
      <c r="M1098" s="6"/>
    </row>
    <row r="1099" spans="13:13" x14ac:dyDescent="0.25">
      <c r="M1099" s="6"/>
    </row>
    <row r="1100" spans="13:13" x14ac:dyDescent="0.25">
      <c r="M1100" s="6"/>
    </row>
    <row r="1101" spans="13:13" x14ac:dyDescent="0.25">
      <c r="M1101" s="6"/>
    </row>
    <row r="1102" spans="13:13" x14ac:dyDescent="0.25">
      <c r="M1102" s="6"/>
    </row>
    <row r="1103" spans="13:13" x14ac:dyDescent="0.25">
      <c r="M1103" s="6"/>
    </row>
    <row r="1104" spans="13:13" x14ac:dyDescent="0.25">
      <c r="M1104" s="6"/>
    </row>
    <row r="1105" spans="13:13" x14ac:dyDescent="0.25">
      <c r="M1105" s="6"/>
    </row>
    <row r="1106" spans="13:13" x14ac:dyDescent="0.25">
      <c r="M1106" s="6"/>
    </row>
    <row r="1107" spans="13:13" x14ac:dyDescent="0.25">
      <c r="M1107" s="6"/>
    </row>
    <row r="1108" spans="13:13" x14ac:dyDescent="0.25">
      <c r="M1108" s="6"/>
    </row>
    <row r="1109" spans="13:13" x14ac:dyDescent="0.25">
      <c r="M1109" s="6"/>
    </row>
    <row r="1110" spans="13:13" x14ac:dyDescent="0.25">
      <c r="M1110" s="6"/>
    </row>
    <row r="1111" spans="13:13" x14ac:dyDescent="0.25">
      <c r="M1111" s="6"/>
    </row>
    <row r="1112" spans="13:13" x14ac:dyDescent="0.25">
      <c r="M1112" s="6"/>
    </row>
    <row r="1113" spans="13:13" x14ac:dyDescent="0.25">
      <c r="M1113" s="6"/>
    </row>
    <row r="1114" spans="13:13" x14ac:dyDescent="0.25">
      <c r="M1114" s="6"/>
    </row>
    <row r="1115" spans="13:13" x14ac:dyDescent="0.25">
      <c r="M1115" s="6"/>
    </row>
    <row r="1116" spans="13:13" x14ac:dyDescent="0.25">
      <c r="M1116" s="6"/>
    </row>
    <row r="1117" spans="13:13" x14ac:dyDescent="0.25">
      <c r="M1117" s="6"/>
    </row>
    <row r="1118" spans="13:13" x14ac:dyDescent="0.25">
      <c r="M1118" s="6"/>
    </row>
    <row r="1119" spans="13:13" x14ac:dyDescent="0.25">
      <c r="M1119" s="6"/>
    </row>
    <row r="1120" spans="13:13" x14ac:dyDescent="0.25">
      <c r="M1120" s="6"/>
    </row>
    <row r="1121" spans="13:13" x14ac:dyDescent="0.25">
      <c r="M1121" s="6"/>
    </row>
    <row r="1122" spans="13:13" x14ac:dyDescent="0.25">
      <c r="M1122" s="6"/>
    </row>
    <row r="1123" spans="13:13" x14ac:dyDescent="0.25">
      <c r="M1123" s="6"/>
    </row>
    <row r="1124" spans="13:13" x14ac:dyDescent="0.25">
      <c r="M1124" s="6"/>
    </row>
    <row r="1125" spans="13:13" x14ac:dyDescent="0.25">
      <c r="M1125" s="6"/>
    </row>
    <row r="1126" spans="13:13" x14ac:dyDescent="0.25">
      <c r="M1126" s="6"/>
    </row>
    <row r="1127" spans="13:13" x14ac:dyDescent="0.25">
      <c r="M1127" s="6"/>
    </row>
    <row r="1128" spans="13:13" x14ac:dyDescent="0.25">
      <c r="M1128" s="6"/>
    </row>
    <row r="1129" spans="13:13" x14ac:dyDescent="0.25">
      <c r="M1129" s="6"/>
    </row>
    <row r="1130" spans="13:13" x14ac:dyDescent="0.25">
      <c r="M1130" s="6"/>
    </row>
    <row r="1131" spans="13:13" x14ac:dyDescent="0.25">
      <c r="M1131" s="6"/>
    </row>
    <row r="1132" spans="13:13" x14ac:dyDescent="0.25">
      <c r="M1132" s="6"/>
    </row>
    <row r="1133" spans="13:13" x14ac:dyDescent="0.25">
      <c r="M1133" s="6"/>
    </row>
    <row r="1134" spans="13:13" x14ac:dyDescent="0.25">
      <c r="M1134" s="6"/>
    </row>
    <row r="1135" spans="13:13" x14ac:dyDescent="0.25">
      <c r="M1135" s="6"/>
    </row>
    <row r="1136" spans="13:13" x14ac:dyDescent="0.25">
      <c r="M1136" s="6"/>
    </row>
    <row r="1137" spans="13:13" x14ac:dyDescent="0.25">
      <c r="M1137" s="6"/>
    </row>
    <row r="1138" spans="13:13" x14ac:dyDescent="0.25">
      <c r="M1138" s="6"/>
    </row>
    <row r="1139" spans="13:13" x14ac:dyDescent="0.25">
      <c r="M1139" s="6"/>
    </row>
    <row r="1140" spans="13:13" x14ac:dyDescent="0.25">
      <c r="M1140" s="6"/>
    </row>
    <row r="1141" spans="13:13" x14ac:dyDescent="0.25">
      <c r="M1141" s="6"/>
    </row>
    <row r="1142" spans="13:13" x14ac:dyDescent="0.25">
      <c r="M1142" s="6"/>
    </row>
    <row r="1143" spans="13:13" x14ac:dyDescent="0.25">
      <c r="M1143" s="6"/>
    </row>
    <row r="1144" spans="13:13" x14ac:dyDescent="0.25">
      <c r="M1144" s="6"/>
    </row>
    <row r="1145" spans="13:13" x14ac:dyDescent="0.25">
      <c r="M1145" s="6"/>
    </row>
    <row r="1146" spans="13:13" x14ac:dyDescent="0.25">
      <c r="M1146" s="6"/>
    </row>
    <row r="1147" spans="13:13" x14ac:dyDescent="0.25">
      <c r="M1147" s="6"/>
    </row>
    <row r="1148" spans="13:13" x14ac:dyDescent="0.25">
      <c r="M1148" s="6"/>
    </row>
    <row r="1149" spans="13:13" x14ac:dyDescent="0.25">
      <c r="M1149" s="6"/>
    </row>
    <row r="1150" spans="13:13" x14ac:dyDescent="0.25">
      <c r="M1150" s="6"/>
    </row>
    <row r="1151" spans="13:13" x14ac:dyDescent="0.25">
      <c r="M1151" s="6"/>
    </row>
    <row r="1152" spans="13:13" x14ac:dyDescent="0.25">
      <c r="M1152" s="6"/>
    </row>
    <row r="1153" spans="13:13" x14ac:dyDescent="0.25">
      <c r="M1153" s="6"/>
    </row>
    <row r="1154" spans="13:13" x14ac:dyDescent="0.25">
      <c r="M1154" s="6"/>
    </row>
    <row r="1155" spans="13:13" x14ac:dyDescent="0.25">
      <c r="M1155" s="6"/>
    </row>
    <row r="1156" spans="13:13" x14ac:dyDescent="0.25">
      <c r="M1156" s="6"/>
    </row>
    <row r="1157" spans="13:13" x14ac:dyDescent="0.25">
      <c r="M1157" s="6"/>
    </row>
    <row r="1158" spans="13:13" x14ac:dyDescent="0.25">
      <c r="M1158" s="6"/>
    </row>
    <row r="1159" spans="13:13" x14ac:dyDescent="0.25">
      <c r="M1159" s="6"/>
    </row>
    <row r="1160" spans="13:13" x14ac:dyDescent="0.25">
      <c r="M1160" s="6"/>
    </row>
    <row r="1161" spans="13:13" x14ac:dyDescent="0.25">
      <c r="M1161" s="6"/>
    </row>
    <row r="1162" spans="13:13" x14ac:dyDescent="0.25">
      <c r="M1162" s="6"/>
    </row>
    <row r="1163" spans="13:13" x14ac:dyDescent="0.25">
      <c r="M1163" s="6"/>
    </row>
    <row r="1164" spans="13:13" x14ac:dyDescent="0.25">
      <c r="M1164" s="6"/>
    </row>
    <row r="1165" spans="13:13" x14ac:dyDescent="0.25">
      <c r="M1165" s="6"/>
    </row>
    <row r="1166" spans="13:13" x14ac:dyDescent="0.25">
      <c r="M1166" s="6"/>
    </row>
    <row r="1167" spans="13:13" x14ac:dyDescent="0.25">
      <c r="M1167" s="6"/>
    </row>
    <row r="1168" spans="13:13" x14ac:dyDescent="0.25">
      <c r="M1168" s="6"/>
    </row>
    <row r="1169" spans="13:13" x14ac:dyDescent="0.25">
      <c r="M1169" s="6"/>
    </row>
    <row r="1170" spans="13:13" x14ac:dyDescent="0.25">
      <c r="M1170" s="6"/>
    </row>
    <row r="1171" spans="13:13" x14ac:dyDescent="0.25">
      <c r="M1171" s="6"/>
    </row>
    <row r="1172" spans="13:13" x14ac:dyDescent="0.25">
      <c r="M1172" s="6"/>
    </row>
    <row r="1173" spans="13:13" x14ac:dyDescent="0.25">
      <c r="M1173" s="6"/>
    </row>
    <row r="1174" spans="13:13" x14ac:dyDescent="0.25">
      <c r="M1174" s="6"/>
    </row>
    <row r="1175" spans="13:13" x14ac:dyDescent="0.25">
      <c r="M1175" s="6"/>
    </row>
    <row r="1176" spans="13:13" x14ac:dyDescent="0.25">
      <c r="M1176" s="6"/>
    </row>
    <row r="1177" spans="13:13" x14ac:dyDescent="0.25">
      <c r="M1177" s="6"/>
    </row>
    <row r="1178" spans="13:13" x14ac:dyDescent="0.25">
      <c r="M1178" s="6"/>
    </row>
    <row r="1179" spans="13:13" x14ac:dyDescent="0.25">
      <c r="M1179" s="6"/>
    </row>
    <row r="1180" spans="13:13" x14ac:dyDescent="0.25">
      <c r="M1180" s="6"/>
    </row>
    <row r="1181" spans="13:13" x14ac:dyDescent="0.25">
      <c r="M1181" s="6"/>
    </row>
    <row r="1182" spans="13:13" x14ac:dyDescent="0.25">
      <c r="M1182" s="6"/>
    </row>
    <row r="1183" spans="13:13" x14ac:dyDescent="0.25">
      <c r="M1183" s="6"/>
    </row>
    <row r="1184" spans="13:13" x14ac:dyDescent="0.25">
      <c r="M1184" s="6"/>
    </row>
    <row r="1185" spans="13:13" x14ac:dyDescent="0.25">
      <c r="M1185" s="6"/>
    </row>
    <row r="1186" spans="13:13" x14ac:dyDescent="0.25">
      <c r="M1186" s="6"/>
    </row>
    <row r="1187" spans="13:13" x14ac:dyDescent="0.25">
      <c r="M1187" s="6"/>
    </row>
    <row r="1188" spans="13:13" x14ac:dyDescent="0.25">
      <c r="M1188" s="6"/>
    </row>
    <row r="1189" spans="13:13" x14ac:dyDescent="0.25">
      <c r="M1189" s="6"/>
    </row>
    <row r="1190" spans="13:13" x14ac:dyDescent="0.25">
      <c r="M1190" s="6"/>
    </row>
    <row r="1191" spans="13:13" x14ac:dyDescent="0.25">
      <c r="M1191" s="6"/>
    </row>
    <row r="1192" spans="13:13" x14ac:dyDescent="0.25">
      <c r="M1192" s="6"/>
    </row>
    <row r="1193" spans="13:13" x14ac:dyDescent="0.25">
      <c r="M1193" s="6"/>
    </row>
    <row r="1194" spans="13:13" x14ac:dyDescent="0.25">
      <c r="M1194" s="6"/>
    </row>
    <row r="1195" spans="13:13" x14ac:dyDescent="0.25">
      <c r="M1195" s="6"/>
    </row>
    <row r="1196" spans="13:13" x14ac:dyDescent="0.25">
      <c r="M1196" s="6"/>
    </row>
    <row r="1197" spans="13:13" x14ac:dyDescent="0.25">
      <c r="M1197" s="6"/>
    </row>
    <row r="1198" spans="13:13" x14ac:dyDescent="0.25">
      <c r="M1198" s="6"/>
    </row>
    <row r="1199" spans="13:13" x14ac:dyDescent="0.25">
      <c r="M1199" s="6"/>
    </row>
    <row r="1200" spans="13:13" x14ac:dyDescent="0.25">
      <c r="M1200" s="6"/>
    </row>
    <row r="1201" spans="13:13" x14ac:dyDescent="0.25">
      <c r="M1201" s="6"/>
    </row>
    <row r="1202" spans="13:13" x14ac:dyDescent="0.25">
      <c r="M1202" s="6"/>
    </row>
    <row r="1203" spans="13:13" x14ac:dyDescent="0.25">
      <c r="M1203" s="6"/>
    </row>
    <row r="1204" spans="13:13" x14ac:dyDescent="0.25">
      <c r="M1204" s="6"/>
    </row>
    <row r="1205" spans="13:13" x14ac:dyDescent="0.25">
      <c r="M1205" s="6"/>
    </row>
    <row r="1206" spans="13:13" x14ac:dyDescent="0.25">
      <c r="M1206" s="6"/>
    </row>
    <row r="1207" spans="13:13" x14ac:dyDescent="0.25">
      <c r="M1207" s="6"/>
    </row>
    <row r="1208" spans="13:13" x14ac:dyDescent="0.25">
      <c r="M1208" s="6"/>
    </row>
    <row r="1209" spans="13:13" x14ac:dyDescent="0.25">
      <c r="M1209" s="6"/>
    </row>
    <row r="1210" spans="13:13" x14ac:dyDescent="0.25">
      <c r="M1210" s="6"/>
    </row>
    <row r="1211" spans="13:13" x14ac:dyDescent="0.25">
      <c r="M1211" s="6"/>
    </row>
    <row r="1212" spans="13:13" x14ac:dyDescent="0.25">
      <c r="M1212" s="6"/>
    </row>
    <row r="1213" spans="13:13" x14ac:dyDescent="0.25">
      <c r="M1213" s="6"/>
    </row>
    <row r="1214" spans="13:13" x14ac:dyDescent="0.25">
      <c r="M1214" s="6"/>
    </row>
    <row r="1215" spans="13:13" x14ac:dyDescent="0.25">
      <c r="M1215" s="6"/>
    </row>
    <row r="1216" spans="13:13" x14ac:dyDescent="0.25">
      <c r="M1216" s="6"/>
    </row>
    <row r="1217" spans="13:13" x14ac:dyDescent="0.25">
      <c r="M1217" s="6"/>
    </row>
    <row r="1218" spans="13:13" x14ac:dyDescent="0.25">
      <c r="M1218" s="6"/>
    </row>
    <row r="1219" spans="13:13" x14ac:dyDescent="0.25">
      <c r="M1219" s="6"/>
    </row>
    <row r="1220" spans="13:13" x14ac:dyDescent="0.25">
      <c r="M1220" s="6"/>
    </row>
    <row r="1221" spans="13:13" x14ac:dyDescent="0.25">
      <c r="M1221" s="6"/>
    </row>
    <row r="1222" spans="13:13" x14ac:dyDescent="0.25">
      <c r="M1222" s="6"/>
    </row>
    <row r="1223" spans="13:13" x14ac:dyDescent="0.25">
      <c r="M1223" s="6"/>
    </row>
    <row r="1224" spans="13:13" x14ac:dyDescent="0.25">
      <c r="M1224" s="6"/>
    </row>
    <row r="1225" spans="13:13" x14ac:dyDescent="0.25">
      <c r="M1225" s="6"/>
    </row>
    <row r="1226" spans="13:13" x14ac:dyDescent="0.25">
      <c r="M1226" s="6"/>
    </row>
    <row r="1227" spans="13:13" x14ac:dyDescent="0.25">
      <c r="M1227" s="6"/>
    </row>
    <row r="1228" spans="13:13" x14ac:dyDescent="0.25">
      <c r="M1228" s="6"/>
    </row>
    <row r="1229" spans="13:13" x14ac:dyDescent="0.25">
      <c r="M1229" s="6"/>
    </row>
    <row r="1230" spans="13:13" x14ac:dyDescent="0.25">
      <c r="M1230" s="6"/>
    </row>
    <row r="1231" spans="13:13" x14ac:dyDescent="0.25">
      <c r="M1231" s="6"/>
    </row>
    <row r="1232" spans="13:13" x14ac:dyDescent="0.25">
      <c r="M1232" s="6"/>
    </row>
    <row r="1233" spans="13:13" x14ac:dyDescent="0.25">
      <c r="M1233" s="6"/>
    </row>
    <row r="1234" spans="13:13" x14ac:dyDescent="0.25">
      <c r="M1234" s="6"/>
    </row>
    <row r="1235" spans="13:13" x14ac:dyDescent="0.25">
      <c r="M1235" s="6"/>
    </row>
    <row r="1236" spans="13:13" x14ac:dyDescent="0.25">
      <c r="M1236" s="6"/>
    </row>
    <row r="1237" spans="13:13" x14ac:dyDescent="0.25">
      <c r="M1237" s="6"/>
    </row>
    <row r="1238" spans="13:13" x14ac:dyDescent="0.25">
      <c r="M1238" s="6"/>
    </row>
    <row r="1239" spans="13:13" x14ac:dyDescent="0.25">
      <c r="M1239" s="6"/>
    </row>
    <row r="1240" spans="13:13" x14ac:dyDescent="0.25">
      <c r="M1240" s="6"/>
    </row>
    <row r="1241" spans="13:13" x14ac:dyDescent="0.25">
      <c r="M1241" s="6"/>
    </row>
    <row r="1242" spans="13:13" x14ac:dyDescent="0.25">
      <c r="M1242" s="6"/>
    </row>
    <row r="1243" spans="13:13" x14ac:dyDescent="0.25">
      <c r="M1243" s="6"/>
    </row>
    <row r="1244" spans="13:13" x14ac:dyDescent="0.25">
      <c r="M1244" s="6"/>
    </row>
    <row r="1245" spans="13:13" x14ac:dyDescent="0.25">
      <c r="M1245" s="6"/>
    </row>
    <row r="1246" spans="13:13" x14ac:dyDescent="0.25">
      <c r="M1246" s="6"/>
    </row>
    <row r="1247" spans="13:13" x14ac:dyDescent="0.25">
      <c r="M1247" s="6"/>
    </row>
    <row r="1248" spans="13:13" x14ac:dyDescent="0.25">
      <c r="M1248" s="6"/>
    </row>
    <row r="1249" spans="13:13" x14ac:dyDescent="0.25">
      <c r="M1249" s="6"/>
    </row>
    <row r="1250" spans="13:13" x14ac:dyDescent="0.25">
      <c r="M1250" s="6"/>
    </row>
    <row r="1251" spans="13:13" x14ac:dyDescent="0.25">
      <c r="M1251" s="6"/>
    </row>
    <row r="1252" spans="13:13" x14ac:dyDescent="0.25">
      <c r="M1252" s="6"/>
    </row>
    <row r="1253" spans="13:13" x14ac:dyDescent="0.25">
      <c r="M1253" s="6"/>
    </row>
    <row r="1254" spans="13:13" x14ac:dyDescent="0.25">
      <c r="M1254" s="6"/>
    </row>
    <row r="1255" spans="13:13" x14ac:dyDescent="0.25">
      <c r="M1255" s="6"/>
    </row>
    <row r="1256" spans="13:13" x14ac:dyDescent="0.25">
      <c r="M1256" s="6"/>
    </row>
    <row r="1257" spans="13:13" x14ac:dyDescent="0.25">
      <c r="M1257" s="6"/>
    </row>
    <row r="1258" spans="13:13" x14ac:dyDescent="0.25">
      <c r="M1258" s="6"/>
    </row>
    <row r="1259" spans="13:13" x14ac:dyDescent="0.25">
      <c r="M1259" s="6"/>
    </row>
    <row r="1260" spans="13:13" x14ac:dyDescent="0.25">
      <c r="M1260" s="6"/>
    </row>
    <row r="1261" spans="13:13" x14ac:dyDescent="0.25">
      <c r="M1261" s="6"/>
    </row>
    <row r="1262" spans="13:13" x14ac:dyDescent="0.25">
      <c r="M1262" s="6"/>
    </row>
    <row r="1263" spans="13:13" x14ac:dyDescent="0.25">
      <c r="M1263" s="6"/>
    </row>
    <row r="1264" spans="13:13" x14ac:dyDescent="0.25">
      <c r="M1264" s="6"/>
    </row>
    <row r="1265" spans="13:13" x14ac:dyDescent="0.25">
      <c r="M1265" s="6"/>
    </row>
    <row r="1266" spans="13:13" x14ac:dyDescent="0.25">
      <c r="M1266" s="6"/>
    </row>
    <row r="1267" spans="13:13" x14ac:dyDescent="0.25">
      <c r="M1267" s="6"/>
    </row>
    <row r="1268" spans="13:13" x14ac:dyDescent="0.25">
      <c r="M1268" s="6"/>
    </row>
    <row r="1269" spans="13:13" x14ac:dyDescent="0.25">
      <c r="M1269" s="6"/>
    </row>
    <row r="1270" spans="13:13" x14ac:dyDescent="0.25">
      <c r="M1270" s="6"/>
    </row>
    <row r="1271" spans="13:13" x14ac:dyDescent="0.25">
      <c r="M1271" s="6"/>
    </row>
    <row r="1272" spans="13:13" x14ac:dyDescent="0.25">
      <c r="M1272" s="6"/>
    </row>
    <row r="1273" spans="13:13" x14ac:dyDescent="0.25">
      <c r="M1273" s="6"/>
    </row>
    <row r="1274" spans="13:13" x14ac:dyDescent="0.25">
      <c r="M1274" s="6"/>
    </row>
    <row r="1275" spans="13:13" x14ac:dyDescent="0.25">
      <c r="M1275" s="6"/>
    </row>
    <row r="1276" spans="13:13" x14ac:dyDescent="0.25">
      <c r="M1276" s="6"/>
    </row>
    <row r="1277" spans="13:13" x14ac:dyDescent="0.25">
      <c r="M1277" s="6"/>
    </row>
    <row r="1278" spans="13:13" x14ac:dyDescent="0.25">
      <c r="M1278" s="6"/>
    </row>
    <row r="1279" spans="13:13" x14ac:dyDescent="0.25">
      <c r="M1279" s="6"/>
    </row>
    <row r="1280" spans="13:13" x14ac:dyDescent="0.25">
      <c r="M1280" s="6"/>
    </row>
    <row r="1281" spans="13:13" x14ac:dyDescent="0.25">
      <c r="M1281" s="6"/>
    </row>
    <row r="1282" spans="13:13" x14ac:dyDescent="0.25">
      <c r="M1282" s="6"/>
    </row>
    <row r="1283" spans="13:13" x14ac:dyDescent="0.25">
      <c r="M1283" s="6"/>
    </row>
    <row r="1284" spans="13:13" x14ac:dyDescent="0.25">
      <c r="M1284" s="6"/>
    </row>
    <row r="1285" spans="13:13" x14ac:dyDescent="0.25">
      <c r="M1285" s="6"/>
    </row>
    <row r="1286" spans="13:13" x14ac:dyDescent="0.25">
      <c r="M1286" s="6"/>
    </row>
    <row r="1287" spans="13:13" x14ac:dyDescent="0.25">
      <c r="M1287" s="6"/>
    </row>
    <row r="1288" spans="13:13" x14ac:dyDescent="0.25">
      <c r="M1288" s="6"/>
    </row>
    <row r="1289" spans="13:13" x14ac:dyDescent="0.25">
      <c r="M1289" s="6"/>
    </row>
    <row r="1290" spans="13:13" x14ac:dyDescent="0.25">
      <c r="M1290" s="6"/>
    </row>
    <row r="1291" spans="13:13" x14ac:dyDescent="0.25">
      <c r="M1291" s="6"/>
    </row>
    <row r="1292" spans="13:13" x14ac:dyDescent="0.25">
      <c r="M1292" s="6"/>
    </row>
    <row r="1293" spans="13:13" x14ac:dyDescent="0.25">
      <c r="M1293" s="6"/>
    </row>
    <row r="1294" spans="13:13" x14ac:dyDescent="0.25">
      <c r="M1294" s="6"/>
    </row>
    <row r="1295" spans="13:13" x14ac:dyDescent="0.25">
      <c r="M1295" s="6"/>
    </row>
    <row r="1296" spans="13:13" x14ac:dyDescent="0.25">
      <c r="M1296" s="6"/>
    </row>
    <row r="1297" spans="13:13" x14ac:dyDescent="0.25">
      <c r="M1297" s="6"/>
    </row>
    <row r="1298" spans="13:13" x14ac:dyDescent="0.25">
      <c r="M1298" s="6"/>
    </row>
    <row r="1299" spans="13:13" x14ac:dyDescent="0.25">
      <c r="M1299" s="6"/>
    </row>
    <row r="1300" spans="13:13" x14ac:dyDescent="0.25">
      <c r="M1300" s="6"/>
    </row>
    <row r="1301" spans="13:13" x14ac:dyDescent="0.25">
      <c r="M1301" s="6"/>
    </row>
    <row r="1302" spans="13:13" x14ac:dyDescent="0.25">
      <c r="M1302" s="6"/>
    </row>
    <row r="1303" spans="13:13" x14ac:dyDescent="0.25">
      <c r="M1303" s="6"/>
    </row>
    <row r="1304" spans="13:13" x14ac:dyDescent="0.25">
      <c r="M1304" s="6"/>
    </row>
    <row r="1305" spans="13:13" x14ac:dyDescent="0.25">
      <c r="M1305" s="6"/>
    </row>
    <row r="1306" spans="13:13" x14ac:dyDescent="0.25">
      <c r="M1306" s="6"/>
    </row>
    <row r="1307" spans="13:13" x14ac:dyDescent="0.25">
      <c r="M1307" s="6"/>
    </row>
    <row r="1308" spans="13:13" x14ac:dyDescent="0.25">
      <c r="M1308" s="6"/>
    </row>
    <row r="1309" spans="13:13" x14ac:dyDescent="0.25">
      <c r="M1309" s="6"/>
    </row>
    <row r="1310" spans="13:13" x14ac:dyDescent="0.25">
      <c r="M1310" s="6"/>
    </row>
    <row r="1311" spans="13:13" x14ac:dyDescent="0.25">
      <c r="M1311" s="6"/>
    </row>
    <row r="1312" spans="13:13" x14ac:dyDescent="0.25">
      <c r="M1312" s="6"/>
    </row>
    <row r="1313" spans="13:13" x14ac:dyDescent="0.25">
      <c r="M1313" s="6"/>
    </row>
    <row r="1314" spans="13:13" x14ac:dyDescent="0.25">
      <c r="M1314" s="6"/>
    </row>
    <row r="1315" spans="13:13" x14ac:dyDescent="0.25">
      <c r="M1315" s="6"/>
    </row>
    <row r="1316" spans="13:13" x14ac:dyDescent="0.25">
      <c r="M1316" s="6"/>
    </row>
    <row r="1317" spans="13:13" x14ac:dyDescent="0.25">
      <c r="M1317" s="6"/>
    </row>
    <row r="1318" spans="13:13" x14ac:dyDescent="0.25">
      <c r="M1318" s="6"/>
    </row>
    <row r="1319" spans="13:13" x14ac:dyDescent="0.25">
      <c r="M1319" s="6"/>
    </row>
    <row r="1320" spans="13:13" x14ac:dyDescent="0.25">
      <c r="M1320" s="6"/>
    </row>
    <row r="1321" spans="13:13" x14ac:dyDescent="0.25">
      <c r="M1321" s="6"/>
    </row>
    <row r="1322" spans="13:13" x14ac:dyDescent="0.25">
      <c r="M1322" s="6"/>
    </row>
    <row r="1323" spans="13:13" x14ac:dyDescent="0.25">
      <c r="M1323" s="6"/>
    </row>
    <row r="1324" spans="13:13" x14ac:dyDescent="0.25">
      <c r="M1324" s="6"/>
    </row>
    <row r="1325" spans="13:13" x14ac:dyDescent="0.25">
      <c r="M1325" s="6"/>
    </row>
    <row r="1326" spans="13:13" x14ac:dyDescent="0.25">
      <c r="M1326" s="6"/>
    </row>
    <row r="1327" spans="13:13" x14ac:dyDescent="0.25">
      <c r="M1327" s="6"/>
    </row>
    <row r="1328" spans="13:13" x14ac:dyDescent="0.25">
      <c r="M1328" s="6"/>
    </row>
    <row r="1329" spans="13:13" x14ac:dyDescent="0.25">
      <c r="M1329" s="6"/>
    </row>
    <row r="1330" spans="13:13" x14ac:dyDescent="0.25">
      <c r="M1330" s="6"/>
    </row>
    <row r="1331" spans="13:13" x14ac:dyDescent="0.25">
      <c r="M1331" s="6"/>
    </row>
    <row r="1332" spans="13:13" x14ac:dyDescent="0.25">
      <c r="M1332" s="6"/>
    </row>
    <row r="1333" spans="13:13" x14ac:dyDescent="0.25">
      <c r="M1333" s="6"/>
    </row>
    <row r="1334" spans="13:13" x14ac:dyDescent="0.25">
      <c r="M1334" s="6"/>
    </row>
    <row r="1335" spans="13:13" x14ac:dyDescent="0.25">
      <c r="M1335" s="6"/>
    </row>
    <row r="1336" spans="13:13" x14ac:dyDescent="0.25">
      <c r="M1336" s="6"/>
    </row>
    <row r="1337" spans="13:13" x14ac:dyDescent="0.25">
      <c r="M1337" s="6"/>
    </row>
    <row r="1338" spans="13:13" x14ac:dyDescent="0.25">
      <c r="M1338" s="6"/>
    </row>
    <row r="1339" spans="13:13" x14ac:dyDescent="0.25">
      <c r="M1339" s="6"/>
    </row>
    <row r="1340" spans="13:13" x14ac:dyDescent="0.25">
      <c r="M1340" s="6"/>
    </row>
    <row r="1341" spans="13:13" x14ac:dyDescent="0.25">
      <c r="M1341" s="6"/>
    </row>
    <row r="1342" spans="13:13" x14ac:dyDescent="0.25">
      <c r="M1342" s="6"/>
    </row>
    <row r="1343" spans="13:13" x14ac:dyDescent="0.25">
      <c r="M1343" s="6"/>
    </row>
    <row r="1344" spans="13:13" x14ac:dyDescent="0.25">
      <c r="M1344" s="6"/>
    </row>
    <row r="1345" spans="13:13" x14ac:dyDescent="0.25">
      <c r="M1345" s="6"/>
    </row>
    <row r="1346" spans="13:13" x14ac:dyDescent="0.25">
      <c r="M1346" s="6"/>
    </row>
    <row r="1347" spans="13:13" x14ac:dyDescent="0.25">
      <c r="M1347" s="6"/>
    </row>
    <row r="1348" spans="13:13" x14ac:dyDescent="0.25">
      <c r="M1348" s="6"/>
    </row>
    <row r="1349" spans="13:13" x14ac:dyDescent="0.25">
      <c r="M1349" s="6"/>
    </row>
    <row r="1350" spans="13:13" x14ac:dyDescent="0.25">
      <c r="M1350" s="6"/>
    </row>
    <row r="1351" spans="13:13" x14ac:dyDescent="0.25">
      <c r="M1351" s="6"/>
    </row>
    <row r="1352" spans="13:13" x14ac:dyDescent="0.25">
      <c r="M1352" s="6"/>
    </row>
    <row r="1353" spans="13:13" x14ac:dyDescent="0.25">
      <c r="M1353" s="6"/>
    </row>
    <row r="1354" spans="13:13" x14ac:dyDescent="0.25">
      <c r="M1354" s="6"/>
    </row>
    <row r="1355" spans="13:13" x14ac:dyDescent="0.25">
      <c r="M1355" s="6"/>
    </row>
    <row r="1356" spans="13:13" x14ac:dyDescent="0.25">
      <c r="M1356" s="6"/>
    </row>
    <row r="1357" spans="13:13" x14ac:dyDescent="0.25">
      <c r="M1357" s="6"/>
    </row>
    <row r="1358" spans="13:13" x14ac:dyDescent="0.25">
      <c r="M1358" s="6"/>
    </row>
    <row r="1359" spans="13:13" x14ac:dyDescent="0.25">
      <c r="M1359" s="6"/>
    </row>
    <row r="1360" spans="13:13" x14ac:dyDescent="0.25">
      <c r="M1360" s="6"/>
    </row>
    <row r="1361" spans="13:13" x14ac:dyDescent="0.25">
      <c r="M1361" s="6"/>
    </row>
    <row r="1362" spans="13:13" x14ac:dyDescent="0.25">
      <c r="M1362" s="6"/>
    </row>
    <row r="1363" spans="13:13" x14ac:dyDescent="0.25">
      <c r="M1363" s="6"/>
    </row>
    <row r="1364" spans="13:13" x14ac:dyDescent="0.25">
      <c r="M1364" s="6"/>
    </row>
    <row r="1365" spans="13:13" x14ac:dyDescent="0.25">
      <c r="M1365" s="6"/>
    </row>
    <row r="1366" spans="13:13" x14ac:dyDescent="0.25">
      <c r="M1366" s="6"/>
    </row>
    <row r="1367" spans="13:13" x14ac:dyDescent="0.25">
      <c r="M1367" s="6"/>
    </row>
    <row r="1368" spans="13:13" x14ac:dyDescent="0.25">
      <c r="M1368" s="6"/>
    </row>
    <row r="1369" spans="13:13" x14ac:dyDescent="0.25">
      <c r="M1369" s="6"/>
    </row>
    <row r="1370" spans="13:13" x14ac:dyDescent="0.25">
      <c r="M1370" s="6"/>
    </row>
    <row r="1371" spans="13:13" x14ac:dyDescent="0.25">
      <c r="M1371" s="6"/>
    </row>
    <row r="1372" spans="13:13" x14ac:dyDescent="0.25">
      <c r="M1372" s="6"/>
    </row>
    <row r="1373" spans="13:13" x14ac:dyDescent="0.25">
      <c r="M1373" s="6"/>
    </row>
    <row r="1374" spans="13:13" x14ac:dyDescent="0.25">
      <c r="M1374" s="6"/>
    </row>
    <row r="1375" spans="13:13" x14ac:dyDescent="0.25">
      <c r="M1375" s="6"/>
    </row>
    <row r="1376" spans="13:13" x14ac:dyDescent="0.25">
      <c r="M1376" s="6"/>
    </row>
    <row r="1377" spans="13:13" x14ac:dyDescent="0.25">
      <c r="M1377" s="6"/>
    </row>
    <row r="1378" spans="13:13" x14ac:dyDescent="0.25">
      <c r="M1378" s="6"/>
    </row>
    <row r="1379" spans="13:13" x14ac:dyDescent="0.25">
      <c r="M1379" s="6"/>
    </row>
    <row r="1380" spans="13:13" x14ac:dyDescent="0.25">
      <c r="M1380" s="6"/>
    </row>
    <row r="1381" spans="13:13" x14ac:dyDescent="0.25">
      <c r="M1381" s="6"/>
    </row>
    <row r="1382" spans="13:13" x14ac:dyDescent="0.25">
      <c r="M1382" s="6"/>
    </row>
    <row r="1383" spans="13:13" x14ac:dyDescent="0.25">
      <c r="M1383" s="6"/>
    </row>
    <row r="1384" spans="13:13" x14ac:dyDescent="0.25">
      <c r="M1384" s="6"/>
    </row>
    <row r="1385" spans="13:13" x14ac:dyDescent="0.25">
      <c r="M1385" s="6"/>
    </row>
    <row r="1386" spans="13:13" x14ac:dyDescent="0.25">
      <c r="M1386" s="6"/>
    </row>
    <row r="1387" spans="13:13" x14ac:dyDescent="0.25">
      <c r="M1387" s="6"/>
    </row>
    <row r="1388" spans="13:13" x14ac:dyDescent="0.25">
      <c r="M1388" s="6"/>
    </row>
    <row r="1389" spans="13:13" x14ac:dyDescent="0.25">
      <c r="M1389" s="6"/>
    </row>
    <row r="1390" spans="13:13" x14ac:dyDescent="0.25">
      <c r="M1390" s="6"/>
    </row>
    <row r="1391" spans="13:13" x14ac:dyDescent="0.25">
      <c r="M1391" s="6"/>
    </row>
    <row r="1392" spans="13:13" x14ac:dyDescent="0.25">
      <c r="M1392" s="6"/>
    </row>
    <row r="1393" spans="13:13" x14ac:dyDescent="0.25">
      <c r="M1393" s="6"/>
    </row>
    <row r="1394" spans="13:13" x14ac:dyDescent="0.25">
      <c r="M1394" s="6"/>
    </row>
    <row r="1395" spans="13:13" x14ac:dyDescent="0.25">
      <c r="M1395" s="6"/>
    </row>
    <row r="1396" spans="13:13" x14ac:dyDescent="0.25">
      <c r="M1396" s="6"/>
    </row>
    <row r="1397" spans="13:13" x14ac:dyDescent="0.25">
      <c r="M1397" s="6"/>
    </row>
    <row r="1398" spans="13:13" x14ac:dyDescent="0.25">
      <c r="M1398" s="6"/>
    </row>
    <row r="1399" spans="13:13" x14ac:dyDescent="0.25">
      <c r="M1399" s="6"/>
    </row>
    <row r="1400" spans="13:13" x14ac:dyDescent="0.25">
      <c r="M1400" s="6"/>
    </row>
    <row r="1401" spans="13:13" x14ac:dyDescent="0.25">
      <c r="M1401" s="6"/>
    </row>
    <row r="1402" spans="13:13" x14ac:dyDescent="0.25">
      <c r="M1402" s="6"/>
    </row>
    <row r="1403" spans="13:13" x14ac:dyDescent="0.25">
      <c r="M1403" s="6"/>
    </row>
    <row r="1404" spans="13:13" x14ac:dyDescent="0.25">
      <c r="M1404" s="6"/>
    </row>
    <row r="1405" spans="13:13" x14ac:dyDescent="0.25">
      <c r="M1405" s="6"/>
    </row>
    <row r="1406" spans="13:13" x14ac:dyDescent="0.25">
      <c r="M1406" s="6"/>
    </row>
    <row r="1407" spans="13:13" x14ac:dyDescent="0.25">
      <c r="M1407" s="6"/>
    </row>
    <row r="1408" spans="13:13" x14ac:dyDescent="0.25">
      <c r="M1408" s="6"/>
    </row>
    <row r="1409" spans="13:13" x14ac:dyDescent="0.25">
      <c r="M1409" s="6"/>
    </row>
    <row r="1410" spans="13:13" x14ac:dyDescent="0.25">
      <c r="M1410" s="6"/>
    </row>
    <row r="1411" spans="13:13" x14ac:dyDescent="0.25">
      <c r="M1411" s="6"/>
    </row>
    <row r="1412" spans="13:13" x14ac:dyDescent="0.25">
      <c r="M1412" s="6"/>
    </row>
    <row r="1413" spans="13:13" x14ac:dyDescent="0.25">
      <c r="M1413" s="6"/>
    </row>
    <row r="1414" spans="13:13" x14ac:dyDescent="0.25">
      <c r="M1414" s="6"/>
    </row>
    <row r="1415" spans="13:13" x14ac:dyDescent="0.25">
      <c r="M1415" s="6"/>
    </row>
    <row r="1416" spans="13:13" x14ac:dyDescent="0.25">
      <c r="M1416" s="6"/>
    </row>
    <row r="1417" spans="13:13" x14ac:dyDescent="0.25">
      <c r="M1417" s="6"/>
    </row>
    <row r="1418" spans="13:13" x14ac:dyDescent="0.25">
      <c r="M1418" s="6"/>
    </row>
    <row r="1419" spans="13:13" x14ac:dyDescent="0.25">
      <c r="M1419" s="6"/>
    </row>
    <row r="1420" spans="13:13" x14ac:dyDescent="0.25">
      <c r="M1420" s="6"/>
    </row>
    <row r="1421" spans="13:13" x14ac:dyDescent="0.25">
      <c r="M1421" s="6"/>
    </row>
    <row r="1422" spans="13:13" x14ac:dyDescent="0.25">
      <c r="M1422" s="6"/>
    </row>
    <row r="1423" spans="13:13" x14ac:dyDescent="0.25">
      <c r="M1423" s="6"/>
    </row>
    <row r="1424" spans="13:13" x14ac:dyDescent="0.25">
      <c r="M1424" s="6"/>
    </row>
    <row r="1425" spans="13:13" x14ac:dyDescent="0.25">
      <c r="M1425" s="6"/>
    </row>
    <row r="1426" spans="13:13" x14ac:dyDescent="0.25">
      <c r="M1426" s="6"/>
    </row>
    <row r="1427" spans="13:13" x14ac:dyDescent="0.25">
      <c r="M1427" s="6"/>
    </row>
    <row r="1428" spans="13:13" x14ac:dyDescent="0.25">
      <c r="M1428" s="6"/>
    </row>
    <row r="1429" spans="13:13" x14ac:dyDescent="0.25">
      <c r="M1429" s="6"/>
    </row>
    <row r="1430" spans="13:13" x14ac:dyDescent="0.25">
      <c r="M1430" s="6"/>
    </row>
    <row r="1431" spans="13:13" x14ac:dyDescent="0.25">
      <c r="M1431" s="6"/>
    </row>
    <row r="1432" spans="13:13" x14ac:dyDescent="0.25">
      <c r="M1432" s="6"/>
    </row>
    <row r="1433" spans="13:13" x14ac:dyDescent="0.25">
      <c r="M1433" s="6"/>
    </row>
    <row r="1434" spans="13:13" x14ac:dyDescent="0.25">
      <c r="M1434" s="6"/>
    </row>
    <row r="1435" spans="13:13" x14ac:dyDescent="0.25">
      <c r="M1435" s="6"/>
    </row>
    <row r="1436" spans="13:13" x14ac:dyDescent="0.25">
      <c r="M1436" s="6"/>
    </row>
    <row r="1437" spans="13:13" x14ac:dyDescent="0.25">
      <c r="M1437" s="6"/>
    </row>
    <row r="1438" spans="13:13" x14ac:dyDescent="0.25">
      <c r="M1438" s="6"/>
    </row>
    <row r="1439" spans="13:13" x14ac:dyDescent="0.25">
      <c r="M1439" s="6"/>
    </row>
    <row r="1440" spans="13:13" x14ac:dyDescent="0.25">
      <c r="M1440" s="6"/>
    </row>
    <row r="1441" spans="13:13" x14ac:dyDescent="0.25">
      <c r="M1441" s="6"/>
    </row>
    <row r="1442" spans="13:13" x14ac:dyDescent="0.25">
      <c r="M1442" s="6"/>
    </row>
    <row r="1443" spans="13:13" x14ac:dyDescent="0.25">
      <c r="M1443" s="6"/>
    </row>
    <row r="1444" spans="13:13" x14ac:dyDescent="0.25">
      <c r="M1444" s="6"/>
    </row>
    <row r="1445" spans="13:13" x14ac:dyDescent="0.25">
      <c r="M1445" s="6"/>
    </row>
    <row r="1446" spans="13:13" x14ac:dyDescent="0.25">
      <c r="M1446" s="6"/>
    </row>
    <row r="1447" spans="13:13" x14ac:dyDescent="0.25">
      <c r="M1447" s="6"/>
    </row>
    <row r="1448" spans="13:13" x14ac:dyDescent="0.25">
      <c r="M1448" s="6"/>
    </row>
    <row r="1449" spans="13:13" x14ac:dyDescent="0.25">
      <c r="M1449" s="6"/>
    </row>
    <row r="1450" spans="13:13" x14ac:dyDescent="0.25">
      <c r="M1450" s="6"/>
    </row>
    <row r="1451" spans="13:13" x14ac:dyDescent="0.25">
      <c r="M1451" s="6"/>
    </row>
    <row r="1452" spans="13:13" x14ac:dyDescent="0.25">
      <c r="M1452" s="6"/>
    </row>
    <row r="1453" spans="13:13" x14ac:dyDescent="0.25">
      <c r="M1453" s="6"/>
    </row>
    <row r="1454" spans="13:13" x14ac:dyDescent="0.25">
      <c r="M1454" s="6"/>
    </row>
    <row r="1455" spans="13:13" x14ac:dyDescent="0.25">
      <c r="M1455" s="6"/>
    </row>
    <row r="1456" spans="13:13" x14ac:dyDescent="0.25">
      <c r="M1456" s="6"/>
    </row>
    <row r="1457" spans="13:13" x14ac:dyDescent="0.25">
      <c r="M1457" s="6"/>
    </row>
    <row r="1458" spans="13:13" x14ac:dyDescent="0.25">
      <c r="M1458" s="6"/>
    </row>
  </sheetData>
  <sheetProtection selectLockedCells="1"/>
  <dataValidations count="1">
    <dataValidation type="whole" allowBlank="1" showInputMessage="1" showErrorMessage="1" sqref="F6 F812:F1048576" xr:uid="{F2937FE0-A7E0-4012-9147-D28786D3A1CD}">
      <formula1>1</formula1>
      <formula2>1000000</formula2>
    </dataValidation>
  </dataValidations>
  <pageMargins left="0.7" right="0.7" top="0.75" bottom="0.75" header="0.3" footer="0.3"/>
  <pageSetup orientation="portrait" r:id="rId1"/>
  <ignoredErrors>
    <ignoredError sqref="B7:B106" calculatedColumn="1"/>
    <ignoredError sqref="F6" listDataValidation="1"/>
  </ignoredErrors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539898-1BFF-1445-BB66-791991319FBA}">
  <sheetPr codeName="Sheet5"/>
  <dimension ref="A1:S738"/>
  <sheetViews>
    <sheetView showGridLines="0" zoomScale="145" zoomScaleNormal="145" workbookViewId="0">
      <selection activeCell="C35" sqref="C35"/>
    </sheetView>
  </sheetViews>
  <sheetFormatPr defaultColWidth="8.85546875" defaultRowHeight="15" x14ac:dyDescent="0.25"/>
  <cols>
    <col min="1" max="1" width="30.140625" style="5" customWidth="1"/>
    <col min="2" max="2" width="21.5703125" style="5" customWidth="1"/>
    <col min="3" max="3" width="22.5703125" style="5" customWidth="1"/>
    <col min="4" max="4" width="22.42578125" style="5" customWidth="1"/>
    <col min="5" max="5" width="2" style="5" customWidth="1"/>
    <col min="6" max="6" width="20.7109375" style="5" customWidth="1"/>
    <col min="7" max="7" width="13.140625" style="5" customWidth="1"/>
    <col min="8" max="8" width="10.42578125" style="5" customWidth="1"/>
    <col min="9" max="9" width="9.140625" style="5" customWidth="1"/>
    <col min="10" max="10" width="6" style="5" customWidth="1"/>
    <col min="11" max="11" width="5.42578125" style="5" customWidth="1"/>
    <col min="12" max="12" width="11.85546875" customWidth="1"/>
    <col min="13" max="13" width="13.7109375" customWidth="1"/>
    <col min="14" max="14" width="3.42578125" customWidth="1"/>
    <col min="15" max="15" width="2.7109375" customWidth="1"/>
    <col min="18" max="18" width="20.28515625" customWidth="1"/>
    <col min="19" max="19" width="23.28515625" customWidth="1"/>
  </cols>
  <sheetData>
    <row r="1" spans="1:14" ht="14.25" customHeight="1" x14ac:dyDescent="0.25">
      <c r="D1" s="4"/>
      <c r="E1" s="4"/>
      <c r="F1" s="4"/>
      <c r="G1" s="4"/>
      <c r="H1" s="4"/>
      <c r="I1" s="4"/>
      <c r="J1" s="4"/>
      <c r="K1" s="3"/>
    </row>
    <row r="2" spans="1:14" ht="11.25" customHeight="1" x14ac:dyDescent="0.25">
      <c r="E2" s="2"/>
      <c r="F2" s="2"/>
      <c r="G2" s="2"/>
      <c r="H2" s="2"/>
      <c r="I2" s="2"/>
      <c r="J2" s="2"/>
    </row>
    <row r="3" spans="1:14" ht="6.75" customHeight="1" x14ac:dyDescent="0.25">
      <c r="B3" s="17"/>
      <c r="C3" s="17"/>
      <c r="D3" s="8"/>
    </row>
    <row r="4" spans="1:14" ht="26.25" customHeight="1" x14ac:dyDescent="0.25">
      <c r="A4" s="42"/>
      <c r="B4" s="43" t="s">
        <v>412</v>
      </c>
    </row>
    <row r="5" spans="1:14" x14ac:dyDescent="0.25">
      <c r="E5" s="9"/>
      <c r="F5" s="9"/>
      <c r="G5" s="9"/>
      <c r="J5" s="116"/>
      <c r="K5" s="116"/>
      <c r="L5" s="116"/>
      <c r="M5" s="116"/>
      <c r="N5" s="116"/>
    </row>
    <row r="6" spans="1:14" x14ac:dyDescent="0.25">
      <c r="J6" s="116"/>
      <c r="K6" s="116"/>
      <c r="L6" s="116"/>
      <c r="M6" s="116"/>
      <c r="N6" s="116"/>
    </row>
    <row r="8" spans="1:14" ht="16.5" customHeight="1" x14ac:dyDescent="0.25">
      <c r="A8" s="45" t="s">
        <v>109</v>
      </c>
      <c r="B8" s="45" t="s">
        <v>110</v>
      </c>
      <c r="C8" s="45" t="s">
        <v>111</v>
      </c>
      <c r="D8" s="10"/>
      <c r="E8" s="10"/>
      <c r="F8" s="11"/>
      <c r="G8" s="11"/>
      <c r="H8" s="11"/>
      <c r="I8" s="11"/>
      <c r="J8" s="11"/>
      <c r="K8" s="11"/>
    </row>
    <row r="9" spans="1:14" ht="16.5" customHeight="1" x14ac:dyDescent="0.25">
      <c r="A9" s="46" t="s">
        <v>351</v>
      </c>
      <c r="B9" s="46">
        <v>82406</v>
      </c>
      <c r="C9" s="46">
        <v>66</v>
      </c>
      <c r="D9" s="16"/>
      <c r="E9" s="16"/>
      <c r="F9" s="16"/>
      <c r="G9" s="16"/>
      <c r="H9" s="16"/>
      <c r="I9" s="16"/>
      <c r="J9" s="16"/>
      <c r="K9" s="16"/>
    </row>
    <row r="10" spans="1:14" ht="15.75" customHeight="1" x14ac:dyDescent="0.25">
      <c r="A10" s="47" t="s">
        <v>352</v>
      </c>
      <c r="B10" s="47">
        <v>60758</v>
      </c>
      <c r="C10" s="47">
        <v>15</v>
      </c>
      <c r="D10" s="12"/>
      <c r="E10" s="12"/>
      <c r="F10" s="13"/>
      <c r="G10" s="14"/>
      <c r="H10" s="13"/>
      <c r="I10" s="14"/>
      <c r="J10" s="13"/>
      <c r="K10" s="13"/>
    </row>
    <row r="11" spans="1:14" ht="15" customHeight="1" x14ac:dyDescent="0.25">
      <c r="A11" s="47" t="s">
        <v>353</v>
      </c>
      <c r="B11" s="47">
        <v>58614</v>
      </c>
      <c r="C11" s="47">
        <v>86</v>
      </c>
      <c r="D11" s="12"/>
      <c r="E11" s="12"/>
      <c r="F11" s="13"/>
      <c r="G11" s="14"/>
      <c r="H11" s="13"/>
      <c r="I11" s="14"/>
      <c r="J11" s="13"/>
      <c r="K11" s="13"/>
    </row>
    <row r="12" spans="1:14" ht="15" customHeight="1" x14ac:dyDescent="0.25">
      <c r="A12" s="47" t="s">
        <v>354</v>
      </c>
      <c r="B12" s="47">
        <v>50125</v>
      </c>
      <c r="C12" s="47">
        <v>42</v>
      </c>
      <c r="D12" s="12"/>
      <c r="E12" s="12"/>
      <c r="F12" s="13"/>
      <c r="G12" s="14"/>
      <c r="H12" s="13"/>
      <c r="I12" s="14"/>
      <c r="J12" s="13"/>
      <c r="K12" s="13"/>
    </row>
    <row r="13" spans="1:14" ht="15" customHeight="1" x14ac:dyDescent="0.25">
      <c r="A13" s="47" t="s">
        <v>355</v>
      </c>
      <c r="B13" s="47">
        <v>99444</v>
      </c>
      <c r="C13" s="47">
        <v>47</v>
      </c>
      <c r="D13" s="12"/>
      <c r="E13" s="12"/>
      <c r="F13" s="13"/>
      <c r="G13" s="14"/>
      <c r="H13" s="13"/>
      <c r="I13" s="14"/>
      <c r="J13" s="13"/>
      <c r="K13" s="13"/>
    </row>
    <row r="14" spans="1:14" ht="15" customHeight="1" x14ac:dyDescent="0.25">
      <c r="A14" s="47" t="s">
        <v>356</v>
      </c>
      <c r="B14" s="47">
        <v>52418</v>
      </c>
      <c r="C14" s="47">
        <v>38</v>
      </c>
      <c r="D14" s="12"/>
      <c r="E14" s="12"/>
      <c r="F14" s="13"/>
      <c r="G14" s="14"/>
      <c r="H14" s="13"/>
      <c r="I14" s="14"/>
      <c r="J14" s="13"/>
      <c r="K14" s="13"/>
    </row>
    <row r="15" spans="1:14" ht="15" customHeight="1" x14ac:dyDescent="0.25">
      <c r="A15" s="47" t="s">
        <v>357</v>
      </c>
      <c r="B15" s="47">
        <v>11501</v>
      </c>
      <c r="C15" s="47">
        <v>4</v>
      </c>
      <c r="D15" s="12"/>
      <c r="E15" s="12"/>
      <c r="F15" s="13"/>
      <c r="G15" s="14"/>
      <c r="H15" s="13"/>
      <c r="I15" s="14"/>
      <c r="J15" s="13"/>
      <c r="K15" s="13"/>
    </row>
    <row r="16" spans="1:14" ht="15" customHeight="1" x14ac:dyDescent="0.25">
      <c r="A16" s="47" t="s">
        <v>358</v>
      </c>
      <c r="B16" s="47">
        <v>99239</v>
      </c>
      <c r="C16" s="47">
        <v>5</v>
      </c>
      <c r="D16" s="12"/>
      <c r="E16" s="12"/>
      <c r="F16" s="13"/>
      <c r="G16" s="14"/>
      <c r="H16" s="13"/>
      <c r="I16" s="14"/>
      <c r="J16" s="13"/>
      <c r="K16" s="13"/>
    </row>
    <row r="17" spans="1:19" ht="15" customHeight="1" x14ac:dyDescent="0.25">
      <c r="A17" s="47" t="s">
        <v>359</v>
      </c>
      <c r="B17" s="47">
        <v>64784</v>
      </c>
      <c r="C17" s="47">
        <v>55</v>
      </c>
      <c r="D17" s="12"/>
      <c r="E17" s="12"/>
      <c r="F17" s="13"/>
      <c r="G17" s="14"/>
      <c r="H17" s="13"/>
      <c r="I17" s="14"/>
      <c r="J17" s="13"/>
      <c r="K17" s="13"/>
    </row>
    <row r="18" spans="1:19" ht="15" customHeight="1" x14ac:dyDescent="0.25">
      <c r="A18" s="47" t="s">
        <v>360</v>
      </c>
      <c r="B18" s="47">
        <v>23985</v>
      </c>
      <c r="C18" s="47">
        <v>91</v>
      </c>
      <c r="D18" s="12"/>
      <c r="E18" s="12"/>
      <c r="F18" s="13"/>
      <c r="G18" s="14"/>
      <c r="H18" s="13"/>
      <c r="I18" s="14"/>
      <c r="J18" s="13"/>
      <c r="K18" s="13"/>
    </row>
    <row r="19" spans="1:19" ht="15" customHeight="1" x14ac:dyDescent="0.25">
      <c r="A19" s="47" t="s">
        <v>361</v>
      </c>
      <c r="B19" s="47">
        <v>40992</v>
      </c>
      <c r="C19" s="47">
        <v>75</v>
      </c>
      <c r="D19" s="12"/>
      <c r="E19" s="12"/>
      <c r="F19" s="13"/>
      <c r="G19" s="14"/>
      <c r="H19" s="13"/>
      <c r="I19" s="14"/>
      <c r="J19" s="13"/>
      <c r="K19" s="13"/>
      <c r="R19" s="38"/>
      <c r="S19" s="38"/>
    </row>
    <row r="20" spans="1:19" ht="15" customHeight="1" x14ac:dyDescent="0.25">
      <c r="A20" s="47" t="s">
        <v>362</v>
      </c>
      <c r="B20" s="47">
        <v>89958</v>
      </c>
      <c r="C20" s="47">
        <v>72</v>
      </c>
      <c r="D20" s="12"/>
      <c r="E20" s="12"/>
      <c r="F20" s="13"/>
      <c r="G20" s="14"/>
      <c r="H20" s="13"/>
      <c r="I20" s="14"/>
      <c r="J20" s="13"/>
      <c r="K20" s="13"/>
    </row>
    <row r="21" spans="1:19" ht="15" customHeight="1" x14ac:dyDescent="0.25">
      <c r="A21" s="47" t="s">
        <v>363</v>
      </c>
      <c r="B21" s="47">
        <v>30125</v>
      </c>
      <c r="C21" s="47">
        <v>63</v>
      </c>
      <c r="D21" s="12"/>
      <c r="E21" s="12"/>
      <c r="F21" s="13"/>
      <c r="G21" s="117"/>
      <c r="H21" s="13"/>
      <c r="I21" s="14"/>
      <c r="J21" s="13"/>
      <c r="K21" s="13"/>
    </row>
    <row r="22" spans="1:19" ht="15" customHeight="1" x14ac:dyDescent="0.25">
      <c r="A22" s="47" t="s">
        <v>364</v>
      </c>
      <c r="B22" s="47">
        <v>40552</v>
      </c>
      <c r="C22" s="47">
        <v>94</v>
      </c>
      <c r="D22" s="12"/>
      <c r="E22" s="12"/>
      <c r="F22" s="13"/>
      <c r="G22" s="117"/>
      <c r="H22" s="13"/>
      <c r="I22" s="14"/>
      <c r="J22" s="13"/>
      <c r="K22" s="13"/>
    </row>
    <row r="23" spans="1:19" ht="15" customHeight="1" x14ac:dyDescent="0.25">
      <c r="A23" s="47" t="s">
        <v>365</v>
      </c>
      <c r="B23" s="47">
        <v>70484</v>
      </c>
      <c r="C23" s="47">
        <v>47</v>
      </c>
      <c r="D23" s="12"/>
      <c r="E23" s="12"/>
      <c r="F23" s="13"/>
      <c r="G23" s="117"/>
      <c r="H23" s="13"/>
      <c r="I23" s="14"/>
      <c r="J23" s="13"/>
      <c r="K23" s="13"/>
    </row>
    <row r="24" spans="1:19" ht="15" customHeight="1" x14ac:dyDescent="0.25">
      <c r="A24" s="47" t="s">
        <v>366</v>
      </c>
      <c r="B24" s="47">
        <v>42374</v>
      </c>
      <c r="C24" s="47">
        <v>12</v>
      </c>
      <c r="D24" s="12"/>
      <c r="E24" s="12"/>
      <c r="F24" s="13"/>
      <c r="G24" s="117"/>
      <c r="H24" s="13"/>
      <c r="I24" s="14"/>
      <c r="J24" s="13"/>
      <c r="K24" s="13"/>
    </row>
    <row r="25" spans="1:19" ht="15" customHeight="1" x14ac:dyDescent="0.25">
      <c r="A25" s="47" t="s">
        <v>367</v>
      </c>
      <c r="B25" s="47">
        <v>33768</v>
      </c>
      <c r="C25" s="47">
        <v>98</v>
      </c>
      <c r="D25" s="12"/>
      <c r="E25" s="12"/>
      <c r="F25" s="13"/>
      <c r="G25" s="117"/>
      <c r="H25" s="13"/>
      <c r="I25" s="14"/>
      <c r="J25" s="13"/>
      <c r="K25" s="13"/>
    </row>
    <row r="26" spans="1:19" ht="15" customHeight="1" x14ac:dyDescent="0.25">
      <c r="A26" s="47" t="s">
        <v>368</v>
      </c>
      <c r="B26" s="47">
        <v>57120</v>
      </c>
      <c r="C26" s="47">
        <v>98</v>
      </c>
      <c r="D26" s="12"/>
      <c r="E26" s="12"/>
      <c r="F26" s="13"/>
      <c r="G26" s="117"/>
      <c r="H26" s="13"/>
      <c r="I26" s="14"/>
      <c r="J26" s="13"/>
      <c r="K26" s="13"/>
    </row>
    <row r="27" spans="1:19" ht="15" customHeight="1" x14ac:dyDescent="0.25">
      <c r="A27" s="47" t="s">
        <v>369</v>
      </c>
      <c r="B27" s="47">
        <v>99976</v>
      </c>
      <c r="C27" s="47">
        <v>18</v>
      </c>
      <c r="D27" s="12"/>
      <c r="E27" s="12"/>
      <c r="F27" s="13"/>
      <c r="G27" s="117"/>
      <c r="H27" s="13"/>
      <c r="I27" s="14"/>
      <c r="J27" s="13"/>
      <c r="K27" s="13"/>
    </row>
    <row r="28" spans="1:19" ht="15" customHeight="1" x14ac:dyDescent="0.25">
      <c r="A28" s="47" t="s">
        <v>370</v>
      </c>
      <c r="B28" s="47">
        <v>84790</v>
      </c>
      <c r="C28" s="47">
        <v>52</v>
      </c>
      <c r="D28" s="12"/>
      <c r="E28" s="12"/>
      <c r="F28" s="13"/>
      <c r="G28" s="14"/>
      <c r="H28" s="13"/>
      <c r="I28" s="14"/>
      <c r="J28" s="13"/>
      <c r="K28" s="13"/>
    </row>
    <row r="29" spans="1:19" ht="15" customHeight="1" x14ac:dyDescent="0.25">
      <c r="A29" s="47" t="s">
        <v>371</v>
      </c>
      <c r="B29" s="47">
        <v>89108</v>
      </c>
      <c r="C29" s="47">
        <v>7</v>
      </c>
      <c r="D29" s="12"/>
      <c r="E29" s="12"/>
      <c r="F29" s="13"/>
      <c r="G29" s="14"/>
      <c r="H29" s="13"/>
      <c r="I29" s="14"/>
      <c r="J29" s="13"/>
      <c r="K29" s="13"/>
    </row>
    <row r="30" spans="1:19" ht="15" customHeight="1" x14ac:dyDescent="0.25">
      <c r="A30" s="47" t="s">
        <v>372</v>
      </c>
      <c r="B30" s="47">
        <v>73687</v>
      </c>
      <c r="C30" s="47">
        <v>1</v>
      </c>
      <c r="D30" s="12"/>
      <c r="E30" s="12"/>
      <c r="F30" s="13"/>
      <c r="G30" s="14"/>
      <c r="H30" s="13"/>
      <c r="I30" s="14"/>
      <c r="J30" s="13"/>
      <c r="K30" s="13"/>
    </row>
    <row r="31" spans="1:19" ht="15" customHeight="1" x14ac:dyDescent="0.25">
      <c r="A31" s="47" t="s">
        <v>360</v>
      </c>
      <c r="B31" s="47">
        <v>39467</v>
      </c>
      <c r="C31" s="47">
        <v>90</v>
      </c>
      <c r="D31" s="12"/>
      <c r="E31" s="12"/>
      <c r="F31" s="13"/>
      <c r="G31" s="14"/>
      <c r="H31" s="13"/>
      <c r="I31" s="14"/>
      <c r="J31" s="13"/>
      <c r="K31" s="13"/>
    </row>
    <row r="32" spans="1:19" ht="15" customHeight="1" x14ac:dyDescent="0.25">
      <c r="A32" s="47" t="s">
        <v>373</v>
      </c>
      <c r="B32" s="47">
        <v>75508</v>
      </c>
      <c r="C32" s="47">
        <v>18</v>
      </c>
      <c r="D32" s="12"/>
      <c r="E32" s="12"/>
      <c r="F32" s="13"/>
      <c r="G32" s="14"/>
      <c r="H32" s="13"/>
      <c r="I32" s="14"/>
      <c r="J32" s="13"/>
      <c r="K32" s="13"/>
    </row>
    <row r="33" spans="1:11" ht="15" customHeight="1" x14ac:dyDescent="0.25">
      <c r="A33" s="47" t="s">
        <v>374</v>
      </c>
      <c r="B33" s="47">
        <v>92751</v>
      </c>
      <c r="C33" s="47">
        <v>42</v>
      </c>
      <c r="D33" s="12"/>
      <c r="E33" s="12"/>
      <c r="F33" s="13"/>
      <c r="G33" s="14"/>
      <c r="H33" s="13"/>
      <c r="I33" s="14"/>
      <c r="J33" s="13"/>
      <c r="K33" s="13"/>
    </row>
    <row r="34" spans="1:11" ht="15" customHeight="1" x14ac:dyDescent="0.25">
      <c r="A34" s="13"/>
      <c r="B34" s="13"/>
      <c r="C34" s="13"/>
      <c r="D34" s="12"/>
      <c r="E34" s="12"/>
      <c r="F34" s="13"/>
      <c r="G34" s="14"/>
      <c r="H34" s="13"/>
      <c r="I34" s="14"/>
      <c r="J34" s="13"/>
      <c r="K34" s="13"/>
    </row>
    <row r="35" spans="1:11" ht="15" customHeight="1" x14ac:dyDescent="0.25">
      <c r="A35" s="13"/>
      <c r="B35" s="13"/>
      <c r="C35" s="13"/>
      <c r="D35" s="12"/>
      <c r="E35" s="12"/>
      <c r="F35" s="13"/>
      <c r="G35" s="14"/>
      <c r="H35" s="13"/>
      <c r="I35" s="14"/>
      <c r="J35" s="13"/>
      <c r="K35" s="13"/>
    </row>
    <row r="36" spans="1:11" ht="15" customHeight="1" x14ac:dyDescent="0.25">
      <c r="A36" s="13"/>
      <c r="B36" s="13"/>
      <c r="C36" s="13"/>
      <c r="D36" s="12"/>
      <c r="E36" s="12"/>
      <c r="F36" s="13"/>
      <c r="G36" s="14"/>
      <c r="H36" s="13"/>
      <c r="I36" s="14"/>
      <c r="J36" s="13"/>
      <c r="K36" s="13"/>
    </row>
    <row r="37" spans="1:11" ht="15" customHeight="1" x14ac:dyDescent="0.25">
      <c r="A37" s="13"/>
      <c r="B37" s="13"/>
      <c r="C37" s="13"/>
      <c r="D37" s="12"/>
      <c r="E37" s="12"/>
      <c r="F37" s="13"/>
      <c r="G37" s="14"/>
      <c r="H37" s="13"/>
      <c r="I37" s="14"/>
      <c r="J37" s="13"/>
      <c r="K37" s="13"/>
    </row>
    <row r="38" spans="1:11" ht="15" customHeight="1" x14ac:dyDescent="0.25">
      <c r="A38" s="13"/>
      <c r="B38" s="13"/>
      <c r="C38" s="13"/>
      <c r="D38" s="12"/>
      <c r="E38" s="12"/>
      <c r="F38" s="13"/>
      <c r="G38" s="14"/>
      <c r="H38" s="13"/>
      <c r="I38" s="14"/>
      <c r="J38" s="13"/>
      <c r="K38" s="13"/>
    </row>
    <row r="39" spans="1:11" ht="15" customHeight="1" x14ac:dyDescent="0.25">
      <c r="A39" s="13"/>
      <c r="B39" s="13"/>
      <c r="C39" s="13"/>
      <c r="D39" s="12"/>
      <c r="E39" s="12"/>
      <c r="F39" s="13"/>
      <c r="G39" s="14"/>
      <c r="H39" s="13"/>
      <c r="I39" s="14"/>
      <c r="J39" s="13"/>
      <c r="K39" s="13"/>
    </row>
    <row r="40" spans="1:11" ht="15" customHeight="1" x14ac:dyDescent="0.25">
      <c r="A40" s="13"/>
      <c r="B40" s="13"/>
      <c r="C40" s="13"/>
      <c r="D40" s="12"/>
      <c r="E40" s="12"/>
      <c r="F40" s="13"/>
      <c r="G40" s="14"/>
      <c r="H40" s="13"/>
      <c r="I40" s="14"/>
      <c r="J40" s="13"/>
      <c r="K40" s="13"/>
    </row>
    <row r="41" spans="1:11" ht="15" customHeight="1" x14ac:dyDescent="0.25">
      <c r="A41" s="13"/>
      <c r="B41" s="13"/>
      <c r="C41" s="13"/>
      <c r="D41" s="12"/>
      <c r="E41" s="12"/>
      <c r="F41" s="13"/>
      <c r="G41" s="14"/>
      <c r="H41" s="13"/>
      <c r="I41" s="14"/>
      <c r="J41" s="13"/>
      <c r="K41" s="13"/>
    </row>
    <row r="42" spans="1:11" ht="15" customHeight="1" x14ac:dyDescent="0.25">
      <c r="A42" s="13"/>
      <c r="B42" s="13"/>
      <c r="C42" s="13"/>
      <c r="D42" s="12"/>
      <c r="E42" s="12"/>
      <c r="F42" s="13"/>
      <c r="G42" s="14"/>
      <c r="H42" s="13"/>
      <c r="I42" s="14"/>
      <c r="J42" s="13"/>
      <c r="K42" s="13"/>
    </row>
    <row r="43" spans="1:11" ht="15" customHeight="1" x14ac:dyDescent="0.25">
      <c r="A43" s="13"/>
      <c r="B43" s="13"/>
      <c r="C43" s="13"/>
      <c r="D43" s="12"/>
      <c r="E43" s="12"/>
      <c r="F43" s="13"/>
      <c r="G43" s="14"/>
      <c r="H43" s="13"/>
      <c r="I43" s="14"/>
      <c r="J43" s="13"/>
      <c r="K43" s="13"/>
    </row>
    <row r="44" spans="1:11" ht="15" customHeight="1" x14ac:dyDescent="0.25">
      <c r="A44" s="13"/>
      <c r="B44" s="13"/>
      <c r="C44" s="13"/>
      <c r="D44" s="12"/>
      <c r="E44" s="12"/>
      <c r="F44" s="13"/>
      <c r="G44" s="14"/>
      <c r="H44" s="13"/>
      <c r="I44" s="14"/>
      <c r="J44" s="13"/>
      <c r="K44" s="13"/>
    </row>
    <row r="45" spans="1:11" ht="15" customHeight="1" x14ac:dyDescent="0.25">
      <c r="A45" s="13"/>
      <c r="B45" s="13"/>
      <c r="C45" s="13"/>
      <c r="D45" s="12"/>
      <c r="E45" s="12"/>
      <c r="F45" s="13"/>
      <c r="G45" s="14"/>
      <c r="H45" s="13"/>
      <c r="I45" s="14"/>
      <c r="J45" s="13"/>
      <c r="K45" s="13"/>
    </row>
    <row r="46" spans="1:11" ht="15" customHeight="1" x14ac:dyDescent="0.25">
      <c r="A46" s="13"/>
      <c r="B46" s="13"/>
      <c r="C46" s="13"/>
      <c r="D46" s="12"/>
      <c r="E46" s="12"/>
      <c r="F46" s="13"/>
      <c r="G46" s="14"/>
      <c r="H46" s="13"/>
      <c r="I46" s="14"/>
      <c r="J46" s="13"/>
      <c r="K46" s="13"/>
    </row>
    <row r="47" spans="1:11" ht="15" customHeight="1" x14ac:dyDescent="0.25">
      <c r="A47" s="13"/>
      <c r="B47" s="13"/>
      <c r="C47" s="13"/>
      <c r="D47" s="12"/>
      <c r="E47" s="12"/>
      <c r="F47" s="13"/>
      <c r="G47" s="14"/>
      <c r="H47" s="13"/>
      <c r="I47" s="14"/>
      <c r="J47" s="13"/>
      <c r="K47" s="13"/>
    </row>
    <row r="48" spans="1:11" ht="15" customHeight="1" x14ac:dyDescent="0.25">
      <c r="A48" s="13"/>
      <c r="B48" s="13"/>
      <c r="C48" s="13"/>
      <c r="D48" s="12"/>
      <c r="E48" s="12"/>
      <c r="F48" s="13"/>
      <c r="G48" s="14"/>
      <c r="H48" s="13"/>
      <c r="I48" s="14"/>
      <c r="J48" s="13"/>
      <c r="K48" s="13"/>
    </row>
    <row r="49" spans="1:11" ht="15" customHeight="1" x14ac:dyDescent="0.25">
      <c r="A49" s="13"/>
      <c r="B49" s="13"/>
      <c r="C49" s="13"/>
      <c r="D49" s="12"/>
      <c r="E49" s="12"/>
      <c r="F49" s="13"/>
      <c r="G49" s="14"/>
      <c r="H49" s="13"/>
      <c r="I49" s="14"/>
      <c r="J49" s="13"/>
      <c r="K49" s="13"/>
    </row>
    <row r="50" spans="1:11" ht="15" customHeight="1" x14ac:dyDescent="0.25">
      <c r="A50" s="13"/>
      <c r="B50" s="13"/>
      <c r="C50" s="13"/>
      <c r="D50" s="12"/>
      <c r="E50" s="12"/>
      <c r="F50" s="13"/>
      <c r="G50" s="14"/>
      <c r="H50" s="13"/>
      <c r="I50" s="14"/>
      <c r="J50" s="13"/>
      <c r="K50" s="13"/>
    </row>
    <row r="51" spans="1:11" ht="15" customHeight="1" x14ac:dyDescent="0.25">
      <c r="A51" s="13"/>
      <c r="B51" s="13"/>
      <c r="C51" s="13"/>
      <c r="D51" s="12"/>
      <c r="E51" s="12"/>
      <c r="F51" s="13"/>
      <c r="G51" s="14"/>
      <c r="H51" s="13"/>
      <c r="I51" s="14"/>
      <c r="J51" s="13"/>
      <c r="K51" s="13"/>
    </row>
    <row r="52" spans="1:11" ht="15" customHeight="1" x14ac:dyDescent="0.25">
      <c r="A52" s="13"/>
      <c r="B52" s="13"/>
      <c r="C52" s="13"/>
      <c r="D52" s="12"/>
      <c r="E52" s="12"/>
      <c r="F52" s="13"/>
      <c r="G52" s="14"/>
      <c r="H52" s="13"/>
      <c r="I52" s="14"/>
      <c r="J52" s="13"/>
      <c r="K52" s="13"/>
    </row>
    <row r="53" spans="1:11" ht="15" customHeight="1" x14ac:dyDescent="0.25">
      <c r="A53" s="13"/>
      <c r="B53" s="13"/>
      <c r="C53" s="13"/>
      <c r="D53" s="12"/>
      <c r="E53" s="12"/>
      <c r="F53" s="13"/>
      <c r="G53" s="14"/>
      <c r="H53" s="13"/>
      <c r="I53" s="14"/>
      <c r="J53" s="13"/>
      <c r="K53" s="13"/>
    </row>
    <row r="54" spans="1:11" ht="15" customHeight="1" x14ac:dyDescent="0.25">
      <c r="A54" s="13"/>
      <c r="B54" s="13"/>
      <c r="C54" s="13"/>
      <c r="D54" s="12"/>
      <c r="E54" s="12"/>
      <c r="F54" s="13"/>
      <c r="G54" s="14"/>
      <c r="H54" s="13"/>
      <c r="I54" s="14"/>
      <c r="J54" s="13"/>
      <c r="K54" s="13"/>
    </row>
    <row r="55" spans="1:11" ht="15" customHeight="1" x14ac:dyDescent="0.25">
      <c r="A55" s="13"/>
      <c r="B55" s="13"/>
      <c r="C55" s="13"/>
      <c r="D55" s="12"/>
      <c r="E55" s="12"/>
      <c r="F55" s="13"/>
      <c r="G55" s="14"/>
      <c r="H55" s="13"/>
      <c r="I55" s="14"/>
      <c r="J55" s="13"/>
      <c r="K55" s="13"/>
    </row>
    <row r="56" spans="1:11" ht="15" customHeight="1" x14ac:dyDescent="0.25">
      <c r="A56" s="13"/>
      <c r="B56" s="13"/>
      <c r="C56" s="13"/>
      <c r="D56" s="12"/>
      <c r="E56" s="12"/>
      <c r="F56" s="13"/>
      <c r="G56" s="14"/>
      <c r="H56" s="13"/>
      <c r="I56" s="14"/>
      <c r="J56" s="13"/>
      <c r="K56" s="13"/>
    </row>
    <row r="57" spans="1:11" ht="15" customHeight="1" x14ac:dyDescent="0.25">
      <c r="A57" s="13"/>
      <c r="B57" s="13"/>
      <c r="C57" s="13"/>
      <c r="D57" s="12"/>
      <c r="E57" s="12"/>
      <c r="F57" s="13"/>
      <c r="G57" s="14"/>
      <c r="H57" s="13"/>
      <c r="I57" s="14"/>
      <c r="J57" s="13"/>
      <c r="K57" s="13"/>
    </row>
    <row r="58" spans="1:11" ht="15" customHeight="1" x14ac:dyDescent="0.25">
      <c r="A58" s="13"/>
      <c r="B58" s="13"/>
      <c r="C58" s="13"/>
      <c r="D58" s="12"/>
      <c r="E58" s="12"/>
      <c r="F58" s="13"/>
      <c r="G58" s="14"/>
      <c r="H58" s="13"/>
      <c r="I58" s="14"/>
      <c r="J58" s="13"/>
      <c r="K58" s="13"/>
    </row>
    <row r="59" spans="1:11" ht="15" customHeight="1" x14ac:dyDescent="0.25">
      <c r="A59" s="13"/>
      <c r="B59" s="13"/>
      <c r="C59" s="13"/>
      <c r="D59" s="12"/>
      <c r="E59" s="12"/>
      <c r="F59" s="13"/>
      <c r="G59" s="14"/>
      <c r="H59" s="13"/>
      <c r="I59" s="14"/>
      <c r="J59" s="13"/>
      <c r="K59" s="13"/>
    </row>
    <row r="60" spans="1:11" ht="15" customHeight="1" x14ac:dyDescent="0.25">
      <c r="A60" s="13"/>
      <c r="B60" s="13"/>
      <c r="C60" s="13"/>
      <c r="D60" s="12"/>
      <c r="E60" s="12"/>
      <c r="F60" s="13"/>
      <c r="G60" s="14"/>
      <c r="H60" s="13"/>
      <c r="I60" s="14"/>
      <c r="J60" s="13"/>
      <c r="K60" s="13"/>
    </row>
    <row r="61" spans="1:11" ht="15" customHeight="1" x14ac:dyDescent="0.25">
      <c r="A61" s="13"/>
      <c r="B61" s="13"/>
      <c r="C61" s="13"/>
      <c r="D61" s="12"/>
      <c r="E61" s="12"/>
      <c r="F61" s="13"/>
      <c r="G61" s="14"/>
      <c r="H61" s="13"/>
      <c r="I61" s="14"/>
      <c r="J61" s="13"/>
      <c r="K61" s="13"/>
    </row>
    <row r="62" spans="1:11" ht="15" customHeight="1" x14ac:dyDescent="0.25">
      <c r="A62" s="13"/>
      <c r="B62" s="13"/>
      <c r="C62" s="13"/>
      <c r="D62" s="12"/>
      <c r="E62" s="12"/>
      <c r="F62" s="13"/>
      <c r="G62" s="14"/>
      <c r="H62" s="13"/>
      <c r="I62" s="14"/>
      <c r="J62" s="13"/>
      <c r="K62" s="13"/>
    </row>
    <row r="63" spans="1:11" ht="15" customHeight="1" x14ac:dyDescent="0.25">
      <c r="A63" s="13"/>
      <c r="B63" s="13"/>
      <c r="C63" s="13"/>
      <c r="D63" s="12"/>
      <c r="E63" s="12"/>
      <c r="F63" s="13"/>
      <c r="G63" s="14"/>
      <c r="H63" s="13"/>
      <c r="I63" s="14"/>
      <c r="J63" s="13"/>
      <c r="K63" s="13"/>
    </row>
    <row r="64" spans="1:11" ht="15" customHeight="1" x14ac:dyDescent="0.25">
      <c r="A64" s="13"/>
      <c r="B64" s="13"/>
      <c r="C64" s="13"/>
      <c r="D64" s="12"/>
      <c r="E64" s="12"/>
      <c r="F64" s="13"/>
      <c r="G64" s="14"/>
      <c r="H64" s="13"/>
      <c r="I64" s="14"/>
      <c r="J64" s="13"/>
      <c r="K64" s="13"/>
    </row>
    <row r="65" spans="1:11" ht="15" customHeight="1" x14ac:dyDescent="0.25">
      <c r="A65" s="13"/>
      <c r="B65" s="13"/>
      <c r="C65" s="13"/>
      <c r="D65" s="12"/>
      <c r="E65" s="12"/>
      <c r="F65" s="13"/>
      <c r="G65" s="14"/>
      <c r="H65" s="13"/>
      <c r="I65" s="14"/>
      <c r="J65" s="13"/>
      <c r="K65" s="13"/>
    </row>
    <row r="66" spans="1:11" ht="15" customHeight="1" x14ac:dyDescent="0.25">
      <c r="A66" s="13"/>
      <c r="B66" s="13"/>
      <c r="C66" s="13"/>
      <c r="D66" s="12"/>
      <c r="E66" s="12"/>
      <c r="F66" s="13"/>
      <c r="G66" s="14"/>
      <c r="H66" s="13"/>
      <c r="I66" s="14"/>
      <c r="J66" s="13"/>
      <c r="K66" s="13"/>
    </row>
    <row r="67" spans="1:11" ht="15" customHeight="1" x14ac:dyDescent="0.25">
      <c r="A67" s="13"/>
      <c r="B67" s="13"/>
      <c r="C67" s="13"/>
      <c r="D67" s="12"/>
      <c r="E67" s="12"/>
      <c r="F67" s="13"/>
      <c r="G67" s="14"/>
      <c r="H67" s="13"/>
      <c r="I67" s="14"/>
      <c r="J67" s="13"/>
      <c r="K67" s="13"/>
    </row>
    <row r="68" spans="1:11" ht="15" customHeight="1" x14ac:dyDescent="0.25">
      <c r="A68" s="13"/>
      <c r="B68" s="13"/>
      <c r="C68" s="13"/>
      <c r="D68" s="12"/>
      <c r="E68" s="12"/>
      <c r="F68" s="13"/>
      <c r="G68" s="14"/>
      <c r="H68" s="13"/>
      <c r="I68" s="14"/>
      <c r="J68" s="13"/>
      <c r="K68" s="13"/>
    </row>
    <row r="69" spans="1:11" ht="15" customHeight="1" x14ac:dyDescent="0.25">
      <c r="A69" s="13"/>
      <c r="B69" s="13"/>
      <c r="C69" s="13"/>
      <c r="D69" s="12"/>
      <c r="E69" s="12"/>
      <c r="F69" s="13"/>
      <c r="G69" s="14"/>
      <c r="H69" s="13"/>
      <c r="I69" s="14"/>
      <c r="J69" s="13"/>
      <c r="K69" s="13"/>
    </row>
    <row r="70" spans="1:11" ht="15" customHeight="1" x14ac:dyDescent="0.25">
      <c r="A70" s="13"/>
      <c r="B70" s="13"/>
      <c r="C70" s="13"/>
      <c r="D70" s="12"/>
      <c r="E70" s="12"/>
      <c r="F70" s="13"/>
      <c r="G70" s="14"/>
      <c r="H70" s="13"/>
      <c r="I70" s="14"/>
      <c r="J70" s="13"/>
      <c r="K70" s="13"/>
    </row>
    <row r="71" spans="1:11" ht="15" customHeight="1" x14ac:dyDescent="0.25">
      <c r="A71" s="13"/>
      <c r="B71" s="13"/>
      <c r="C71" s="13"/>
      <c r="D71" s="12"/>
      <c r="E71" s="12"/>
      <c r="F71" s="13"/>
      <c r="G71" s="14"/>
      <c r="H71" s="13"/>
      <c r="I71" s="14"/>
      <c r="J71" s="13"/>
      <c r="K71" s="13"/>
    </row>
    <row r="72" spans="1:11" ht="15" customHeight="1" x14ac:dyDescent="0.25">
      <c r="A72" s="13"/>
      <c r="B72" s="13"/>
      <c r="C72" s="13"/>
      <c r="D72" s="12"/>
      <c r="E72" s="12"/>
      <c r="F72" s="13"/>
      <c r="G72" s="14"/>
      <c r="H72" s="13"/>
      <c r="I72" s="14"/>
      <c r="J72" s="13"/>
      <c r="K72" s="13"/>
    </row>
    <row r="73" spans="1:11" ht="15" customHeight="1" x14ac:dyDescent="0.25">
      <c r="A73" s="13"/>
      <c r="B73" s="13"/>
      <c r="C73" s="13"/>
      <c r="D73" s="12"/>
      <c r="E73" s="12"/>
      <c r="F73" s="13"/>
      <c r="G73" s="14"/>
      <c r="H73" s="13"/>
      <c r="I73" s="14"/>
      <c r="J73" s="13"/>
      <c r="K73" s="13"/>
    </row>
    <row r="74" spans="1:11" ht="15" customHeight="1" x14ac:dyDescent="0.25">
      <c r="A74" s="13"/>
      <c r="B74" s="13"/>
      <c r="C74" s="13"/>
      <c r="D74" s="12"/>
      <c r="E74" s="12"/>
      <c r="F74" s="13"/>
      <c r="G74" s="14"/>
      <c r="H74" s="13"/>
      <c r="I74" s="14"/>
      <c r="J74" s="13"/>
      <c r="K74" s="13"/>
    </row>
    <row r="75" spans="1:11" ht="15" customHeight="1" x14ac:dyDescent="0.25">
      <c r="A75" s="13"/>
      <c r="B75" s="13"/>
      <c r="C75" s="13"/>
      <c r="D75" s="12"/>
      <c r="E75" s="12"/>
      <c r="F75" s="13"/>
      <c r="G75" s="14"/>
      <c r="H75" s="13"/>
      <c r="I75" s="14"/>
      <c r="J75" s="13"/>
      <c r="K75" s="13"/>
    </row>
    <row r="76" spans="1:11" ht="15" customHeight="1" x14ac:dyDescent="0.25">
      <c r="A76" s="13"/>
      <c r="B76" s="13"/>
      <c r="C76" s="13"/>
      <c r="D76" s="12"/>
      <c r="E76" s="12"/>
      <c r="F76" s="13"/>
      <c r="G76" s="14"/>
      <c r="H76" s="13"/>
      <c r="I76" s="14"/>
      <c r="J76" s="13"/>
      <c r="K76" s="13"/>
    </row>
    <row r="77" spans="1:11" ht="15" customHeight="1" x14ac:dyDescent="0.25">
      <c r="A77" s="13"/>
      <c r="B77" s="13"/>
      <c r="C77" s="13"/>
      <c r="D77" s="12"/>
      <c r="E77" s="12"/>
      <c r="F77" s="13"/>
      <c r="G77" s="14"/>
      <c r="H77" s="13"/>
      <c r="I77" s="14"/>
      <c r="J77" s="13"/>
      <c r="K77" s="13"/>
    </row>
    <row r="78" spans="1:11" ht="15" customHeight="1" x14ac:dyDescent="0.25">
      <c r="A78" s="13"/>
      <c r="B78" s="13"/>
      <c r="C78" s="13"/>
      <c r="D78" s="12"/>
      <c r="E78" s="12"/>
      <c r="F78" s="13"/>
      <c r="G78" s="14"/>
      <c r="H78" s="13"/>
      <c r="I78" s="14"/>
      <c r="J78" s="13"/>
      <c r="K78" s="13"/>
    </row>
    <row r="79" spans="1:11" ht="15" customHeight="1" x14ac:dyDescent="0.25">
      <c r="A79" s="13"/>
      <c r="B79" s="13"/>
      <c r="C79" s="13"/>
      <c r="D79" s="12"/>
      <c r="E79" s="12"/>
      <c r="F79" s="13"/>
      <c r="G79" s="14"/>
      <c r="H79" s="13"/>
      <c r="I79" s="14"/>
      <c r="J79" s="13"/>
      <c r="K79" s="13"/>
    </row>
    <row r="80" spans="1:11" ht="15" customHeight="1" x14ac:dyDescent="0.25">
      <c r="A80" s="13"/>
      <c r="B80" s="13"/>
      <c r="C80" s="13"/>
      <c r="D80" s="12"/>
      <c r="E80" s="12"/>
      <c r="F80" s="13"/>
      <c r="G80" s="14"/>
      <c r="H80" s="13"/>
      <c r="I80" s="14"/>
      <c r="J80" s="13"/>
      <c r="K80" s="13"/>
    </row>
    <row r="81" spans="1:11" ht="15" customHeight="1" x14ac:dyDescent="0.25">
      <c r="A81" s="13"/>
      <c r="B81" s="13"/>
      <c r="C81" s="13"/>
      <c r="D81" s="12"/>
      <c r="E81" s="12"/>
      <c r="F81" s="13"/>
      <c r="G81" s="14"/>
      <c r="H81" s="13"/>
      <c r="I81" s="14"/>
      <c r="J81" s="13"/>
      <c r="K81" s="13"/>
    </row>
    <row r="82" spans="1:11" ht="15" customHeight="1" x14ac:dyDescent="0.25">
      <c r="A82" s="13"/>
      <c r="B82" s="13"/>
      <c r="C82" s="13"/>
      <c r="D82" s="12"/>
      <c r="E82" s="12"/>
      <c r="F82" s="13"/>
      <c r="G82" s="14"/>
      <c r="H82" s="13"/>
      <c r="I82" s="14"/>
      <c r="J82" s="13"/>
      <c r="K82" s="13"/>
    </row>
    <row r="83" spans="1:11" ht="15" customHeight="1" x14ac:dyDescent="0.25">
      <c r="A83" s="13"/>
      <c r="B83" s="13"/>
      <c r="C83" s="13"/>
      <c r="D83" s="12"/>
      <c r="E83" s="12"/>
      <c r="F83" s="13"/>
      <c r="G83" s="14"/>
      <c r="H83" s="13"/>
      <c r="I83" s="14"/>
      <c r="J83" s="13"/>
      <c r="K83" s="13"/>
    </row>
    <row r="84" spans="1:11" ht="15" customHeight="1" x14ac:dyDescent="0.25">
      <c r="A84" s="13"/>
      <c r="B84" s="13"/>
      <c r="C84" s="13"/>
      <c r="D84" s="12"/>
      <c r="E84" s="12"/>
      <c r="F84" s="13"/>
      <c r="G84" s="14"/>
      <c r="H84" s="13"/>
      <c r="I84" s="14"/>
      <c r="J84" s="13"/>
      <c r="K84" s="13"/>
    </row>
    <row r="85" spans="1:11" ht="15" customHeight="1" x14ac:dyDescent="0.25">
      <c r="A85" s="13"/>
      <c r="B85" s="13"/>
      <c r="C85" s="13"/>
      <c r="D85" s="12"/>
      <c r="E85" s="12"/>
      <c r="F85" s="13"/>
      <c r="G85" s="14"/>
      <c r="H85" s="13"/>
      <c r="I85" s="14"/>
      <c r="J85" s="13"/>
      <c r="K85" s="13"/>
    </row>
    <row r="86" spans="1:11" ht="15" customHeight="1" x14ac:dyDescent="0.25">
      <c r="A86" s="13"/>
      <c r="B86" s="13"/>
      <c r="C86" s="13"/>
      <c r="D86" s="12"/>
      <c r="E86" s="12"/>
      <c r="F86" s="13"/>
      <c r="G86" s="14"/>
      <c r="H86" s="13"/>
      <c r="I86" s="14"/>
      <c r="J86" s="13"/>
      <c r="K86" s="13"/>
    </row>
    <row r="87" spans="1:11" ht="15" customHeight="1" x14ac:dyDescent="0.25">
      <c r="A87" s="13"/>
      <c r="B87" s="13"/>
      <c r="C87" s="13"/>
      <c r="D87" s="12"/>
      <c r="E87" s="12"/>
      <c r="F87" s="13"/>
      <c r="G87" s="14"/>
      <c r="H87" s="13"/>
      <c r="I87" s="14"/>
      <c r="J87" s="13"/>
      <c r="K87" s="13"/>
    </row>
    <row r="88" spans="1:11" ht="15" customHeight="1" x14ac:dyDescent="0.25">
      <c r="A88" s="13"/>
      <c r="B88" s="13"/>
      <c r="C88" s="13"/>
      <c r="D88" s="12"/>
      <c r="E88" s="12"/>
      <c r="F88" s="13"/>
      <c r="G88" s="14"/>
      <c r="H88" s="13"/>
      <c r="I88" s="14"/>
      <c r="J88" s="13"/>
      <c r="K88" s="13"/>
    </row>
    <row r="89" spans="1:11" ht="15" customHeight="1" x14ac:dyDescent="0.25">
      <c r="A89" s="13"/>
      <c r="B89" s="13"/>
      <c r="C89" s="13"/>
      <c r="D89" s="12"/>
      <c r="E89" s="12"/>
      <c r="F89" s="13"/>
      <c r="G89" s="14"/>
      <c r="H89" s="13"/>
      <c r="I89" s="14"/>
      <c r="J89" s="13"/>
      <c r="K89" s="13"/>
    </row>
    <row r="90" spans="1:11" ht="15" customHeight="1" x14ac:dyDescent="0.25">
      <c r="A90" s="13"/>
      <c r="B90" s="13"/>
      <c r="C90" s="13"/>
      <c r="D90" s="12"/>
      <c r="E90" s="12"/>
      <c r="F90" s="13"/>
      <c r="G90" s="14"/>
      <c r="H90" s="13"/>
      <c r="I90" s="14"/>
      <c r="J90" s="13"/>
      <c r="K90" s="13"/>
    </row>
    <row r="91" spans="1:11" ht="15" customHeight="1" x14ac:dyDescent="0.25">
      <c r="A91" s="13"/>
      <c r="B91" s="13"/>
      <c r="C91" s="13"/>
      <c r="D91" s="12"/>
      <c r="E91" s="12"/>
      <c r="F91" s="13"/>
      <c r="G91" s="14"/>
      <c r="H91" s="13"/>
      <c r="I91" s="14"/>
      <c r="J91" s="13"/>
      <c r="K91" s="13"/>
    </row>
    <row r="92" spans="1:11" ht="15" customHeight="1" x14ac:dyDescent="0.25">
      <c r="A92" s="13"/>
      <c r="B92" s="13"/>
      <c r="C92" s="13"/>
      <c r="D92" s="12"/>
      <c r="E92" s="12"/>
      <c r="F92" s="13"/>
      <c r="G92" s="14"/>
      <c r="H92" s="13"/>
      <c r="I92" s="14"/>
      <c r="J92" s="13"/>
      <c r="K92" s="13"/>
    </row>
    <row r="93" spans="1:11" ht="15" customHeight="1" x14ac:dyDescent="0.25">
      <c r="A93" s="13"/>
      <c r="B93" s="13"/>
      <c r="C93" s="13"/>
      <c r="D93" s="12"/>
      <c r="E93" s="12"/>
      <c r="F93" s="13"/>
      <c r="G93" s="14"/>
      <c r="H93" s="13"/>
      <c r="I93" s="14"/>
      <c r="J93" s="13"/>
      <c r="K93" s="13"/>
    </row>
    <row r="94" spans="1:11" ht="15" customHeight="1" x14ac:dyDescent="0.25">
      <c r="A94" s="13"/>
      <c r="B94" s="13"/>
      <c r="C94" s="13"/>
      <c r="D94" s="12"/>
      <c r="E94" s="12"/>
      <c r="F94" s="13"/>
      <c r="G94" s="14"/>
      <c r="H94" s="13"/>
      <c r="I94" s="14"/>
      <c r="J94" s="13"/>
      <c r="K94" s="13"/>
    </row>
    <row r="95" spans="1:11" ht="15" customHeight="1" x14ac:dyDescent="0.25">
      <c r="A95" s="13"/>
      <c r="B95" s="13"/>
      <c r="C95" s="13"/>
      <c r="D95" s="12"/>
      <c r="E95" s="12"/>
      <c r="F95" s="13"/>
      <c r="G95" s="14"/>
      <c r="H95" s="13"/>
      <c r="I95" s="14"/>
      <c r="J95" s="13"/>
      <c r="K95" s="13"/>
    </row>
    <row r="96" spans="1:11" ht="15" customHeight="1" x14ac:dyDescent="0.25">
      <c r="A96" s="13"/>
      <c r="B96" s="13"/>
      <c r="C96" s="13"/>
      <c r="D96" s="12"/>
      <c r="E96" s="12"/>
      <c r="F96" s="13"/>
      <c r="G96" s="14"/>
      <c r="H96" s="13"/>
      <c r="I96" s="14"/>
      <c r="J96" s="13"/>
      <c r="K96" s="13"/>
    </row>
    <row r="97" spans="1:11" ht="15" customHeight="1" x14ac:dyDescent="0.25">
      <c r="A97" s="13"/>
      <c r="B97" s="13"/>
      <c r="C97" s="13"/>
      <c r="D97" s="12"/>
      <c r="E97" s="12"/>
      <c r="F97" s="13"/>
      <c r="G97" s="14"/>
      <c r="H97" s="13"/>
      <c r="I97" s="14"/>
      <c r="J97" s="13"/>
      <c r="K97" s="13"/>
    </row>
    <row r="98" spans="1:11" ht="15" customHeight="1" x14ac:dyDescent="0.25">
      <c r="A98" s="13"/>
      <c r="B98" s="13"/>
      <c r="C98" s="13"/>
      <c r="D98" s="12"/>
      <c r="E98" s="12"/>
      <c r="F98" s="13"/>
      <c r="G98" s="14"/>
      <c r="H98" s="13"/>
      <c r="I98" s="14"/>
      <c r="J98" s="13"/>
      <c r="K98" s="13"/>
    </row>
    <row r="99" spans="1:11" ht="15" customHeight="1" x14ac:dyDescent="0.25">
      <c r="A99" s="13"/>
      <c r="B99" s="13"/>
      <c r="C99" s="13"/>
      <c r="D99" s="12"/>
      <c r="E99" s="12"/>
      <c r="F99" s="13"/>
      <c r="G99" s="14"/>
      <c r="H99" s="13"/>
      <c r="I99" s="14"/>
      <c r="J99" s="13"/>
      <c r="K99" s="13"/>
    </row>
    <row r="100" spans="1:11" ht="15" customHeight="1" x14ac:dyDescent="0.25">
      <c r="A100" s="13"/>
      <c r="B100" s="13"/>
      <c r="C100" s="13"/>
      <c r="D100" s="12"/>
      <c r="E100" s="12"/>
      <c r="F100" s="13"/>
      <c r="G100" s="14"/>
      <c r="H100" s="13"/>
      <c r="I100" s="14"/>
      <c r="J100" s="13"/>
      <c r="K100" s="13"/>
    </row>
    <row r="101" spans="1:11" ht="15" customHeight="1" x14ac:dyDescent="0.25">
      <c r="A101" s="13"/>
      <c r="B101" s="13"/>
      <c r="C101" s="13"/>
      <c r="D101" s="12"/>
      <c r="E101" s="12"/>
      <c r="F101" s="13"/>
      <c r="G101" s="14"/>
      <c r="H101" s="13"/>
      <c r="I101" s="14"/>
      <c r="J101" s="13"/>
      <c r="K101" s="13"/>
    </row>
    <row r="102" spans="1:11" ht="15" customHeight="1" x14ac:dyDescent="0.25">
      <c r="A102" s="13"/>
      <c r="B102" s="13"/>
      <c r="C102" s="13"/>
      <c r="D102" s="12"/>
      <c r="E102" s="12"/>
      <c r="F102" s="13"/>
      <c r="G102" s="14"/>
      <c r="H102" s="13"/>
      <c r="I102" s="14"/>
      <c r="J102" s="13"/>
      <c r="K102" s="13"/>
    </row>
    <row r="103" spans="1:11" ht="15" customHeight="1" x14ac:dyDescent="0.25">
      <c r="A103" s="13"/>
      <c r="B103" s="13"/>
      <c r="C103" s="13"/>
      <c r="D103" s="12"/>
      <c r="E103" s="12"/>
      <c r="F103" s="13"/>
      <c r="G103" s="14"/>
      <c r="H103" s="13"/>
      <c r="I103" s="14"/>
      <c r="J103" s="13"/>
      <c r="K103" s="13"/>
    </row>
    <row r="104" spans="1:11" ht="15" customHeight="1" x14ac:dyDescent="0.25">
      <c r="A104" s="13"/>
      <c r="B104" s="13"/>
      <c r="C104" s="13"/>
      <c r="D104" s="12"/>
      <c r="E104" s="12"/>
      <c r="F104" s="13"/>
      <c r="G104" s="14"/>
      <c r="H104" s="13"/>
      <c r="I104" s="14"/>
      <c r="J104" s="13"/>
      <c r="K104" s="13"/>
    </row>
    <row r="105" spans="1:11" ht="15" customHeight="1" x14ac:dyDescent="0.25">
      <c r="A105" s="13"/>
      <c r="B105" s="13"/>
      <c r="C105" s="13"/>
      <c r="D105" s="12"/>
      <c r="E105" s="12"/>
      <c r="F105" s="13"/>
      <c r="G105" s="14"/>
      <c r="H105" s="13"/>
      <c r="I105" s="14"/>
      <c r="J105" s="13"/>
      <c r="K105" s="13"/>
    </row>
    <row r="106" spans="1:11" ht="15" customHeight="1" x14ac:dyDescent="0.25">
      <c r="A106" s="13"/>
      <c r="B106" s="13"/>
      <c r="C106" s="13"/>
      <c r="D106" s="12"/>
      <c r="E106" s="12"/>
      <c r="F106" s="13"/>
      <c r="G106" s="14"/>
      <c r="H106" s="13"/>
      <c r="I106" s="14"/>
      <c r="J106" s="13"/>
      <c r="K106" s="13"/>
    </row>
    <row r="107" spans="1:11" ht="15" customHeight="1" x14ac:dyDescent="0.25">
      <c r="A107" s="13"/>
      <c r="B107" s="13"/>
      <c r="C107" s="13"/>
      <c r="D107" s="12"/>
      <c r="E107" s="12"/>
      <c r="F107" s="13"/>
      <c r="G107" s="14"/>
      <c r="H107" s="13"/>
      <c r="I107" s="14"/>
      <c r="J107" s="13"/>
      <c r="K107" s="13"/>
    </row>
    <row r="108" spans="1:11" ht="15" customHeight="1" x14ac:dyDescent="0.25">
      <c r="A108" s="13"/>
      <c r="B108" s="13"/>
      <c r="C108" s="13"/>
      <c r="D108" s="12"/>
      <c r="E108" s="12"/>
      <c r="F108" s="13"/>
      <c r="G108" s="14"/>
      <c r="H108" s="13"/>
      <c r="I108" s="14"/>
      <c r="J108" s="13"/>
      <c r="K108" s="13"/>
    </row>
    <row r="109" spans="1:11" ht="15" customHeight="1" x14ac:dyDescent="0.25">
      <c r="A109" s="13"/>
      <c r="B109" s="13"/>
      <c r="C109" s="13"/>
      <c r="D109" s="12"/>
      <c r="E109" s="12"/>
      <c r="F109" s="13"/>
      <c r="G109" s="14"/>
      <c r="H109" s="13"/>
      <c r="I109" s="14"/>
      <c r="J109" s="13"/>
      <c r="K109" s="13"/>
    </row>
    <row r="110" spans="1:11" ht="15" customHeight="1" x14ac:dyDescent="0.25">
      <c r="A110" s="13"/>
      <c r="B110" s="13"/>
      <c r="C110" s="13"/>
      <c r="D110" s="12"/>
      <c r="E110" s="12"/>
      <c r="F110" s="13"/>
      <c r="G110" s="14"/>
      <c r="H110" s="13"/>
      <c r="I110" s="14"/>
      <c r="J110" s="13"/>
      <c r="K110" s="13"/>
    </row>
    <row r="111" spans="1:11" ht="15" customHeight="1" x14ac:dyDescent="0.25">
      <c r="A111" s="13"/>
      <c r="B111" s="13"/>
      <c r="C111" s="13"/>
      <c r="D111" s="12"/>
      <c r="E111" s="12"/>
      <c r="F111" s="13"/>
      <c r="G111" s="14"/>
      <c r="H111" s="13"/>
      <c r="I111" s="14"/>
      <c r="J111" s="13"/>
      <c r="K111" s="13"/>
    </row>
    <row r="112" spans="1:11" ht="15" customHeight="1" x14ac:dyDescent="0.25">
      <c r="A112" s="13"/>
      <c r="B112" s="13"/>
      <c r="C112" s="13"/>
      <c r="D112" s="12"/>
      <c r="E112" s="12"/>
      <c r="F112" s="13"/>
      <c r="G112" s="14"/>
      <c r="H112" s="13"/>
      <c r="I112" s="14"/>
      <c r="J112" s="13"/>
      <c r="K112" s="13"/>
    </row>
    <row r="113" spans="1:11" ht="15" customHeight="1" x14ac:dyDescent="0.25">
      <c r="A113" s="13"/>
      <c r="B113" s="13"/>
      <c r="C113" s="13"/>
      <c r="D113" s="12"/>
      <c r="E113" s="12"/>
      <c r="F113" s="13"/>
      <c r="G113" s="14"/>
      <c r="H113" s="13"/>
      <c r="I113" s="14"/>
      <c r="J113" s="13"/>
      <c r="K113" s="13"/>
    </row>
    <row r="114" spans="1:11" ht="15" customHeight="1" x14ac:dyDescent="0.25">
      <c r="A114" s="13"/>
      <c r="B114" s="13"/>
      <c r="C114" s="13"/>
      <c r="D114" s="12"/>
      <c r="E114" s="12"/>
      <c r="F114" s="13"/>
      <c r="G114" s="14"/>
      <c r="H114" s="13"/>
      <c r="I114" s="14"/>
      <c r="J114" s="13"/>
      <c r="K114" s="13"/>
    </row>
    <row r="115" spans="1:11" ht="15" customHeight="1" x14ac:dyDescent="0.25">
      <c r="A115" s="13"/>
      <c r="B115" s="13"/>
      <c r="C115" s="13"/>
      <c r="D115" s="12"/>
      <c r="E115" s="12"/>
      <c r="F115" s="13"/>
      <c r="G115" s="14"/>
      <c r="H115" s="13"/>
      <c r="I115" s="14"/>
      <c r="J115" s="13"/>
      <c r="K115" s="13"/>
    </row>
    <row r="116" spans="1:11" ht="15" customHeight="1" x14ac:dyDescent="0.25">
      <c r="A116" s="13"/>
      <c r="B116" s="13"/>
      <c r="C116" s="13"/>
      <c r="D116" s="12"/>
      <c r="E116" s="12"/>
      <c r="F116" s="13"/>
      <c r="G116" s="14"/>
      <c r="H116" s="13"/>
      <c r="I116" s="14"/>
      <c r="J116" s="13"/>
      <c r="K116" s="13"/>
    </row>
    <row r="117" spans="1:11" ht="15" customHeight="1" x14ac:dyDescent="0.25">
      <c r="A117" s="13"/>
      <c r="B117" s="13"/>
      <c r="C117" s="13"/>
      <c r="D117" s="12"/>
      <c r="E117" s="12"/>
      <c r="F117" s="13"/>
      <c r="G117" s="14"/>
      <c r="H117" s="13"/>
      <c r="I117" s="14"/>
      <c r="J117" s="13"/>
      <c r="K117" s="13"/>
    </row>
    <row r="118" spans="1:11" ht="15" customHeight="1" x14ac:dyDescent="0.25">
      <c r="A118" s="13"/>
      <c r="B118" s="13"/>
      <c r="C118" s="13"/>
      <c r="D118" s="12"/>
      <c r="E118" s="12"/>
      <c r="F118" s="13"/>
      <c r="G118" s="14"/>
      <c r="H118" s="13"/>
      <c r="I118" s="14"/>
      <c r="J118" s="13"/>
      <c r="K118" s="13"/>
    </row>
    <row r="119" spans="1:11" ht="15" customHeight="1" x14ac:dyDescent="0.25">
      <c r="A119" s="13"/>
      <c r="B119" s="13"/>
      <c r="C119" s="13"/>
      <c r="D119" s="12"/>
      <c r="E119" s="12"/>
      <c r="F119" s="13"/>
      <c r="G119" s="14"/>
      <c r="H119" s="13"/>
      <c r="I119" s="14"/>
      <c r="J119" s="13"/>
      <c r="K119" s="13"/>
    </row>
    <row r="120" spans="1:11" ht="15" customHeight="1" x14ac:dyDescent="0.25">
      <c r="A120" s="13"/>
      <c r="B120" s="13"/>
      <c r="C120" s="13"/>
      <c r="D120" s="12"/>
      <c r="E120" s="12"/>
      <c r="F120" s="13"/>
      <c r="G120" s="14"/>
      <c r="H120" s="13"/>
      <c r="I120" s="14"/>
      <c r="J120" s="13"/>
      <c r="K120" s="13"/>
    </row>
    <row r="121" spans="1:11" ht="15" customHeight="1" x14ac:dyDescent="0.25">
      <c r="A121" s="13"/>
      <c r="B121" s="13"/>
      <c r="C121" s="13"/>
      <c r="D121" s="12"/>
      <c r="E121" s="12"/>
      <c r="F121" s="13"/>
      <c r="G121" s="14"/>
      <c r="H121" s="13"/>
      <c r="I121" s="14"/>
      <c r="J121" s="13"/>
      <c r="K121" s="13"/>
    </row>
    <row r="122" spans="1:11" ht="15" customHeight="1" x14ac:dyDescent="0.25">
      <c r="A122" s="13"/>
      <c r="B122" s="13"/>
      <c r="C122" s="13"/>
      <c r="D122" s="12"/>
      <c r="E122" s="12"/>
      <c r="F122" s="13"/>
      <c r="G122" s="14"/>
      <c r="H122" s="13"/>
      <c r="I122" s="14"/>
      <c r="J122" s="13"/>
      <c r="K122" s="13"/>
    </row>
    <row r="123" spans="1:11" ht="15" customHeight="1" x14ac:dyDescent="0.25">
      <c r="A123" s="13"/>
      <c r="B123" s="13"/>
      <c r="C123" s="13"/>
      <c r="D123" s="12"/>
      <c r="E123" s="12"/>
      <c r="F123" s="13"/>
      <c r="G123" s="14"/>
      <c r="H123" s="13"/>
      <c r="I123" s="14"/>
      <c r="J123" s="13"/>
      <c r="K123" s="13"/>
    </row>
    <row r="124" spans="1:11" ht="15" customHeight="1" x14ac:dyDescent="0.25">
      <c r="A124" s="13"/>
      <c r="B124" s="13"/>
      <c r="C124" s="13"/>
      <c r="D124" s="12"/>
      <c r="E124" s="12"/>
      <c r="F124" s="13"/>
      <c r="G124" s="14"/>
      <c r="H124" s="13"/>
      <c r="I124" s="14"/>
      <c r="J124" s="13"/>
      <c r="K124" s="13"/>
    </row>
    <row r="125" spans="1:11" ht="15" customHeight="1" x14ac:dyDescent="0.25">
      <c r="A125" s="13"/>
      <c r="B125" s="13"/>
      <c r="C125" s="13"/>
      <c r="D125" s="12"/>
      <c r="E125" s="12"/>
      <c r="F125" s="13"/>
      <c r="G125" s="14"/>
      <c r="H125" s="13"/>
      <c r="I125" s="14"/>
      <c r="J125" s="13"/>
      <c r="K125" s="13"/>
    </row>
    <row r="126" spans="1:11" ht="15" customHeight="1" x14ac:dyDescent="0.25">
      <c r="A126" s="13"/>
      <c r="B126" s="13"/>
      <c r="C126" s="13"/>
      <c r="D126" s="12"/>
      <c r="E126" s="12"/>
      <c r="F126" s="13"/>
      <c r="G126" s="14"/>
      <c r="H126" s="13"/>
      <c r="I126" s="14"/>
      <c r="J126" s="13"/>
      <c r="K126" s="13"/>
    </row>
    <row r="127" spans="1:11" ht="15" customHeight="1" x14ac:dyDescent="0.25">
      <c r="A127" s="13"/>
      <c r="B127" s="13"/>
      <c r="C127" s="13"/>
      <c r="D127" s="12"/>
      <c r="E127" s="12"/>
      <c r="F127" s="13"/>
      <c r="G127" s="14"/>
      <c r="H127" s="13"/>
      <c r="I127" s="14"/>
      <c r="J127" s="13"/>
      <c r="K127" s="13"/>
    </row>
    <row r="128" spans="1:11" ht="15" customHeight="1" x14ac:dyDescent="0.25">
      <c r="A128" s="13"/>
      <c r="B128" s="13"/>
      <c r="C128" s="13"/>
      <c r="D128" s="12"/>
      <c r="E128" s="12"/>
      <c r="F128" s="13"/>
      <c r="G128" s="14"/>
      <c r="H128" s="13"/>
      <c r="I128" s="14"/>
      <c r="J128" s="13"/>
      <c r="K128" s="13"/>
    </row>
    <row r="129" spans="1:11" ht="15" customHeight="1" x14ac:dyDescent="0.25">
      <c r="A129" s="13"/>
      <c r="B129" s="13"/>
      <c r="C129" s="13"/>
      <c r="D129" s="12"/>
      <c r="E129" s="12"/>
      <c r="F129" s="13"/>
      <c r="G129" s="14"/>
      <c r="H129" s="13"/>
      <c r="I129" s="14"/>
      <c r="J129" s="13"/>
      <c r="K129" s="13"/>
    </row>
    <row r="130" spans="1:11" ht="15" customHeight="1" x14ac:dyDescent="0.25">
      <c r="A130" s="13"/>
      <c r="B130" s="13"/>
      <c r="C130" s="13"/>
      <c r="D130" s="12"/>
      <c r="E130" s="12"/>
      <c r="F130" s="13"/>
      <c r="G130" s="14"/>
      <c r="H130" s="13"/>
      <c r="I130" s="14"/>
      <c r="J130" s="13"/>
      <c r="K130" s="13"/>
    </row>
    <row r="131" spans="1:11" ht="15" customHeight="1" x14ac:dyDescent="0.25">
      <c r="A131" s="13"/>
      <c r="B131" s="13"/>
      <c r="C131" s="13"/>
      <c r="D131" s="12"/>
      <c r="E131" s="12"/>
      <c r="F131" s="13"/>
      <c r="G131" s="14"/>
      <c r="H131" s="13"/>
      <c r="I131" s="14"/>
      <c r="J131" s="13"/>
      <c r="K131" s="13"/>
    </row>
    <row r="132" spans="1:11" ht="15" customHeight="1" x14ac:dyDescent="0.25">
      <c r="A132" s="13"/>
      <c r="B132" s="13"/>
      <c r="C132" s="13"/>
      <c r="D132" s="12"/>
      <c r="E132" s="12"/>
      <c r="F132" s="13"/>
      <c r="G132" s="14"/>
      <c r="H132" s="13"/>
      <c r="I132" s="14"/>
      <c r="J132" s="13"/>
      <c r="K132" s="13"/>
    </row>
    <row r="133" spans="1:11" ht="15" customHeight="1" x14ac:dyDescent="0.25">
      <c r="A133" s="13"/>
      <c r="B133" s="13"/>
      <c r="C133" s="13"/>
      <c r="D133" s="12"/>
      <c r="E133" s="12"/>
      <c r="F133" s="13"/>
      <c r="G133" s="14"/>
      <c r="H133" s="13"/>
      <c r="I133" s="14"/>
      <c r="J133" s="13"/>
      <c r="K133" s="13"/>
    </row>
    <row r="134" spans="1:11" ht="15" customHeight="1" x14ac:dyDescent="0.25">
      <c r="A134" s="13"/>
      <c r="B134" s="13"/>
      <c r="C134" s="13"/>
      <c r="D134" s="12"/>
      <c r="E134" s="12"/>
      <c r="F134" s="13"/>
      <c r="G134" s="14"/>
      <c r="H134" s="13"/>
      <c r="I134" s="14"/>
      <c r="J134" s="13"/>
      <c r="K134" s="13"/>
    </row>
    <row r="135" spans="1:11" ht="15" customHeight="1" x14ac:dyDescent="0.25">
      <c r="A135" s="13"/>
      <c r="B135" s="13"/>
      <c r="C135" s="13"/>
      <c r="D135" s="12"/>
      <c r="E135" s="12"/>
      <c r="F135" s="13"/>
      <c r="G135" s="14"/>
      <c r="H135" s="13"/>
      <c r="I135" s="14"/>
      <c r="J135" s="13"/>
      <c r="K135" s="13"/>
    </row>
    <row r="136" spans="1:11" ht="15" customHeight="1" x14ac:dyDescent="0.25">
      <c r="A136" s="13"/>
      <c r="B136" s="13"/>
      <c r="C136" s="13"/>
      <c r="D136" s="12"/>
      <c r="E136" s="12"/>
      <c r="F136" s="13"/>
      <c r="G136" s="14"/>
      <c r="H136" s="13"/>
      <c r="I136" s="14"/>
      <c r="J136" s="13"/>
      <c r="K136" s="13"/>
    </row>
    <row r="137" spans="1:11" ht="15" customHeight="1" x14ac:dyDescent="0.25">
      <c r="A137" s="13"/>
      <c r="B137" s="13"/>
      <c r="C137" s="13"/>
      <c r="D137" s="12"/>
      <c r="E137" s="12"/>
      <c r="F137" s="13"/>
      <c r="G137" s="14"/>
      <c r="H137" s="13"/>
      <c r="I137" s="14"/>
      <c r="J137" s="13"/>
      <c r="K137" s="13"/>
    </row>
    <row r="138" spans="1:11" ht="15" customHeight="1" x14ac:dyDescent="0.25">
      <c r="A138" s="13"/>
      <c r="B138" s="13"/>
      <c r="C138" s="13"/>
      <c r="D138" s="12"/>
      <c r="E138" s="12"/>
      <c r="F138" s="13"/>
      <c r="G138" s="14"/>
      <c r="H138" s="13"/>
      <c r="I138" s="14"/>
      <c r="J138" s="13"/>
      <c r="K138" s="13"/>
    </row>
    <row r="139" spans="1:11" ht="15" customHeight="1" x14ac:dyDescent="0.25">
      <c r="A139" s="13"/>
      <c r="B139" s="13"/>
      <c r="C139" s="13"/>
      <c r="D139" s="12"/>
      <c r="E139" s="12"/>
      <c r="F139" s="13"/>
      <c r="G139" s="14"/>
      <c r="H139" s="13"/>
      <c r="I139" s="14"/>
      <c r="J139" s="13"/>
      <c r="K139" s="13"/>
    </row>
    <row r="140" spans="1:11" ht="15" customHeight="1" x14ac:dyDescent="0.25">
      <c r="A140" s="13"/>
      <c r="B140" s="13"/>
      <c r="C140" s="13"/>
      <c r="D140" s="12"/>
      <c r="E140" s="12"/>
      <c r="F140" s="13"/>
      <c r="G140" s="14"/>
      <c r="H140" s="13"/>
      <c r="I140" s="14"/>
      <c r="J140" s="13"/>
      <c r="K140" s="13"/>
    </row>
    <row r="141" spans="1:11" ht="15" customHeight="1" x14ac:dyDescent="0.25">
      <c r="A141" s="13"/>
      <c r="B141" s="13"/>
      <c r="C141" s="13"/>
      <c r="D141" s="12"/>
      <c r="E141" s="12"/>
      <c r="F141" s="13"/>
      <c r="G141" s="14"/>
      <c r="H141" s="13"/>
      <c r="I141" s="14"/>
      <c r="J141" s="13"/>
      <c r="K141" s="13"/>
    </row>
    <row r="142" spans="1:11" ht="15" customHeight="1" x14ac:dyDescent="0.25">
      <c r="A142" s="13"/>
      <c r="B142" s="13"/>
      <c r="C142" s="13"/>
      <c r="D142" s="12"/>
      <c r="E142" s="12"/>
      <c r="F142" s="13"/>
      <c r="G142" s="14"/>
      <c r="H142" s="13"/>
      <c r="I142" s="14"/>
      <c r="J142" s="13"/>
      <c r="K142" s="13"/>
    </row>
    <row r="143" spans="1:11" ht="15" customHeight="1" x14ac:dyDescent="0.25">
      <c r="A143" s="13"/>
      <c r="B143" s="13"/>
      <c r="C143" s="13"/>
      <c r="D143" s="12"/>
      <c r="E143" s="12"/>
      <c r="F143" s="13"/>
      <c r="G143" s="14"/>
      <c r="H143" s="13"/>
      <c r="I143" s="14"/>
      <c r="J143" s="13"/>
      <c r="K143" s="13"/>
    </row>
    <row r="144" spans="1:11" ht="15" customHeight="1" x14ac:dyDescent="0.25">
      <c r="A144" s="13"/>
      <c r="B144" s="13"/>
      <c r="C144" s="13"/>
      <c r="D144" s="12"/>
      <c r="E144" s="12"/>
      <c r="F144" s="13"/>
      <c r="G144" s="14"/>
      <c r="H144" s="13"/>
      <c r="I144" s="14"/>
      <c r="J144" s="13"/>
      <c r="K144" s="13"/>
    </row>
    <row r="145" spans="1:11" ht="15" customHeight="1" x14ac:dyDescent="0.25">
      <c r="A145" s="13"/>
      <c r="B145" s="13"/>
      <c r="C145" s="13"/>
      <c r="D145" s="12"/>
      <c r="E145" s="12"/>
      <c r="F145" s="13"/>
      <c r="G145" s="14"/>
      <c r="H145" s="13"/>
      <c r="I145" s="14"/>
      <c r="J145" s="13"/>
      <c r="K145" s="13"/>
    </row>
    <row r="146" spans="1:11" ht="15" customHeight="1" x14ac:dyDescent="0.25">
      <c r="A146" s="13"/>
      <c r="B146" s="13"/>
      <c r="C146" s="13"/>
      <c r="D146" s="12"/>
      <c r="E146" s="12"/>
      <c r="F146" s="13"/>
      <c r="G146" s="14"/>
      <c r="H146" s="13"/>
      <c r="I146" s="14"/>
      <c r="J146" s="13"/>
      <c r="K146" s="13"/>
    </row>
    <row r="147" spans="1:11" ht="15" customHeight="1" x14ac:dyDescent="0.25">
      <c r="A147" s="13"/>
      <c r="B147" s="13"/>
      <c r="C147" s="13"/>
      <c r="D147" s="12"/>
      <c r="E147" s="12"/>
      <c r="F147" s="13"/>
      <c r="G147" s="14"/>
      <c r="H147" s="13"/>
      <c r="I147" s="14"/>
      <c r="J147" s="13"/>
      <c r="K147" s="13"/>
    </row>
    <row r="148" spans="1:11" ht="15" customHeight="1" x14ac:dyDescent="0.25">
      <c r="A148" s="13"/>
      <c r="B148" s="13"/>
      <c r="C148" s="13"/>
      <c r="D148" s="12"/>
      <c r="E148" s="12"/>
      <c r="F148" s="13"/>
      <c r="G148" s="14"/>
      <c r="H148" s="13"/>
      <c r="I148" s="14"/>
      <c r="J148" s="13"/>
      <c r="K148" s="13"/>
    </row>
    <row r="149" spans="1:11" ht="15" customHeight="1" x14ac:dyDescent="0.25">
      <c r="A149" s="13"/>
      <c r="B149" s="13"/>
      <c r="C149" s="13"/>
      <c r="D149" s="12"/>
      <c r="E149" s="12"/>
      <c r="F149" s="13"/>
      <c r="G149" s="14"/>
      <c r="H149" s="13"/>
      <c r="I149" s="14"/>
      <c r="J149" s="13"/>
      <c r="K149" s="13"/>
    </row>
    <row r="150" spans="1:11" ht="15" customHeight="1" x14ac:dyDescent="0.25">
      <c r="A150" s="13"/>
      <c r="B150" s="13"/>
      <c r="C150" s="13"/>
      <c r="D150" s="12"/>
      <c r="E150" s="12"/>
      <c r="F150" s="13"/>
      <c r="G150" s="14"/>
      <c r="H150" s="13"/>
      <c r="I150" s="14"/>
      <c r="J150" s="13"/>
      <c r="K150" s="13"/>
    </row>
    <row r="151" spans="1:11" ht="15" customHeight="1" x14ac:dyDescent="0.25">
      <c r="A151" s="13"/>
      <c r="B151" s="13"/>
      <c r="C151" s="13"/>
      <c r="D151" s="12"/>
      <c r="E151" s="12"/>
      <c r="F151" s="13"/>
      <c r="G151" s="14"/>
      <c r="H151" s="13"/>
      <c r="I151" s="14"/>
      <c r="J151" s="13"/>
      <c r="K151" s="13"/>
    </row>
    <row r="152" spans="1:11" ht="15" customHeight="1" x14ac:dyDescent="0.25">
      <c r="A152" s="13"/>
      <c r="B152" s="13"/>
      <c r="C152" s="13"/>
      <c r="D152" s="12"/>
      <c r="E152" s="12"/>
      <c r="F152" s="13"/>
      <c r="G152" s="14"/>
      <c r="H152" s="13"/>
      <c r="I152" s="14"/>
      <c r="J152" s="13"/>
      <c r="K152" s="13"/>
    </row>
    <row r="153" spans="1:11" ht="15" customHeight="1" x14ac:dyDescent="0.25">
      <c r="A153" s="13"/>
      <c r="B153" s="13"/>
      <c r="C153" s="13"/>
      <c r="D153" s="12"/>
      <c r="E153" s="12"/>
      <c r="F153" s="13"/>
      <c r="G153" s="14"/>
      <c r="H153" s="13"/>
      <c r="I153" s="14"/>
      <c r="J153" s="13"/>
      <c r="K153" s="13"/>
    </row>
    <row r="154" spans="1:11" ht="15" customHeight="1" x14ac:dyDescent="0.25">
      <c r="A154" s="13"/>
      <c r="B154" s="13"/>
      <c r="C154" s="13"/>
      <c r="D154" s="12"/>
      <c r="E154" s="12"/>
      <c r="F154" s="13"/>
      <c r="G154" s="14"/>
      <c r="H154" s="13"/>
      <c r="I154" s="14"/>
      <c r="J154" s="13"/>
      <c r="K154" s="13"/>
    </row>
    <row r="155" spans="1:11" ht="15" customHeight="1" x14ac:dyDescent="0.25">
      <c r="A155" s="13"/>
      <c r="B155" s="13"/>
      <c r="C155" s="13"/>
      <c r="D155" s="12"/>
      <c r="E155" s="12"/>
      <c r="F155" s="13"/>
      <c r="G155" s="14"/>
      <c r="H155" s="13"/>
      <c r="I155" s="14"/>
      <c r="J155" s="13"/>
      <c r="K155" s="13"/>
    </row>
    <row r="156" spans="1:11" ht="15" customHeight="1" x14ac:dyDescent="0.25">
      <c r="A156" s="13"/>
      <c r="B156" s="13"/>
      <c r="C156" s="13"/>
      <c r="D156" s="12"/>
      <c r="E156" s="12"/>
      <c r="F156" s="13"/>
      <c r="G156" s="14"/>
      <c r="H156" s="13"/>
      <c r="I156" s="14"/>
      <c r="J156" s="13"/>
      <c r="K156" s="13"/>
    </row>
    <row r="157" spans="1:11" ht="15" customHeight="1" x14ac:dyDescent="0.25">
      <c r="A157" s="13"/>
      <c r="B157" s="13"/>
      <c r="C157" s="13"/>
      <c r="D157" s="12"/>
      <c r="E157" s="12"/>
      <c r="F157" s="13"/>
      <c r="G157" s="14"/>
      <c r="H157" s="13"/>
      <c r="I157" s="14"/>
      <c r="J157" s="13"/>
      <c r="K157" s="13"/>
    </row>
    <row r="158" spans="1:11" ht="15" customHeight="1" x14ac:dyDescent="0.25">
      <c r="A158" s="13"/>
      <c r="B158" s="13"/>
      <c r="C158" s="13"/>
      <c r="D158" s="12"/>
      <c r="E158" s="12"/>
      <c r="F158" s="13"/>
      <c r="G158" s="14"/>
      <c r="H158" s="13"/>
      <c r="I158" s="14"/>
      <c r="J158" s="13"/>
      <c r="K158" s="13"/>
    </row>
    <row r="159" spans="1:11" ht="15" customHeight="1" x14ac:dyDescent="0.25">
      <c r="A159" s="13"/>
      <c r="B159" s="13"/>
      <c r="C159" s="13"/>
      <c r="D159" s="12"/>
      <c r="E159" s="12"/>
      <c r="F159" s="13"/>
      <c r="G159" s="14"/>
      <c r="H159" s="13"/>
      <c r="I159" s="14"/>
      <c r="J159" s="13"/>
      <c r="K159" s="13"/>
    </row>
    <row r="160" spans="1:11" ht="15" customHeight="1" x14ac:dyDescent="0.25">
      <c r="A160" s="13"/>
      <c r="B160" s="13"/>
      <c r="C160" s="13"/>
      <c r="D160" s="12"/>
      <c r="E160" s="12"/>
      <c r="F160" s="13"/>
      <c r="G160" s="14"/>
      <c r="H160" s="13"/>
      <c r="I160" s="14"/>
      <c r="J160" s="13"/>
      <c r="K160" s="13"/>
    </row>
    <row r="161" spans="1:11" ht="15" customHeight="1" x14ac:dyDescent="0.25">
      <c r="A161" s="13"/>
      <c r="B161" s="13"/>
      <c r="C161" s="13"/>
      <c r="D161" s="12"/>
      <c r="E161" s="12"/>
      <c r="F161" s="13"/>
      <c r="G161" s="14"/>
      <c r="H161" s="13"/>
      <c r="I161" s="14"/>
      <c r="J161" s="13"/>
      <c r="K161" s="13"/>
    </row>
    <row r="162" spans="1:11" ht="15" customHeight="1" x14ac:dyDescent="0.25">
      <c r="A162" s="13"/>
      <c r="B162" s="13"/>
      <c r="C162" s="13"/>
      <c r="D162" s="12"/>
      <c r="E162" s="12"/>
      <c r="F162" s="13"/>
      <c r="G162" s="14"/>
      <c r="H162" s="13"/>
      <c r="I162" s="14"/>
      <c r="J162" s="13"/>
      <c r="K162" s="13"/>
    </row>
    <row r="163" spans="1:11" ht="15" customHeight="1" x14ac:dyDescent="0.25">
      <c r="A163" s="13"/>
      <c r="B163" s="13"/>
      <c r="C163" s="13"/>
      <c r="D163" s="12"/>
      <c r="E163" s="12"/>
      <c r="F163" s="13"/>
      <c r="G163" s="14"/>
      <c r="H163" s="13"/>
      <c r="I163" s="14"/>
      <c r="J163" s="13"/>
      <c r="K163" s="13"/>
    </row>
    <row r="164" spans="1:11" ht="15" customHeight="1" x14ac:dyDescent="0.25">
      <c r="A164" s="13"/>
      <c r="B164" s="13"/>
      <c r="C164" s="13"/>
      <c r="D164" s="12"/>
      <c r="E164" s="12"/>
      <c r="F164" s="13"/>
      <c r="G164" s="14"/>
      <c r="H164" s="13"/>
      <c r="I164" s="14"/>
      <c r="J164" s="13"/>
      <c r="K164" s="13"/>
    </row>
    <row r="165" spans="1:11" ht="15" customHeight="1" x14ac:dyDescent="0.25">
      <c r="A165" s="13"/>
      <c r="B165" s="13"/>
      <c r="C165" s="13"/>
      <c r="D165" s="12"/>
      <c r="E165" s="12"/>
      <c r="F165" s="13"/>
      <c r="G165" s="14"/>
      <c r="H165" s="13"/>
      <c r="I165" s="14"/>
      <c r="J165" s="13"/>
      <c r="K165" s="13"/>
    </row>
    <row r="166" spans="1:11" ht="15" customHeight="1" x14ac:dyDescent="0.25">
      <c r="A166" s="13"/>
      <c r="B166" s="13"/>
      <c r="C166" s="13"/>
      <c r="D166" s="12"/>
      <c r="E166" s="12"/>
      <c r="F166" s="13"/>
      <c r="G166" s="14"/>
      <c r="H166" s="13"/>
      <c r="I166" s="14"/>
      <c r="J166" s="13"/>
      <c r="K166" s="13"/>
    </row>
    <row r="167" spans="1:11" ht="15" customHeight="1" x14ac:dyDescent="0.25">
      <c r="A167" s="13"/>
      <c r="B167" s="13"/>
      <c r="C167" s="13"/>
      <c r="D167" s="12"/>
      <c r="E167" s="12"/>
      <c r="F167" s="13"/>
      <c r="G167" s="14"/>
      <c r="H167" s="13"/>
      <c r="I167" s="14"/>
      <c r="J167" s="13"/>
      <c r="K167" s="13"/>
    </row>
    <row r="168" spans="1:11" ht="15" customHeight="1" x14ac:dyDescent="0.25">
      <c r="A168" s="13"/>
      <c r="B168" s="13"/>
      <c r="C168" s="13"/>
      <c r="D168" s="12"/>
      <c r="E168" s="12"/>
      <c r="F168" s="13"/>
      <c r="G168" s="14"/>
      <c r="H168" s="13"/>
      <c r="I168" s="14"/>
      <c r="J168" s="13"/>
      <c r="K168" s="13"/>
    </row>
    <row r="169" spans="1:11" ht="15" customHeight="1" x14ac:dyDescent="0.25">
      <c r="A169" s="13"/>
      <c r="B169" s="13"/>
      <c r="C169" s="13"/>
      <c r="D169" s="12"/>
      <c r="E169" s="12"/>
      <c r="F169" s="13"/>
      <c r="G169" s="14"/>
      <c r="H169" s="13"/>
      <c r="I169" s="14"/>
      <c r="J169" s="13"/>
      <c r="K169" s="13"/>
    </row>
    <row r="170" spans="1:11" ht="15" customHeight="1" x14ac:dyDescent="0.25">
      <c r="A170" s="13"/>
      <c r="B170" s="13"/>
      <c r="C170" s="13"/>
      <c r="D170" s="12"/>
      <c r="E170" s="12"/>
      <c r="F170" s="13"/>
      <c r="G170" s="14"/>
      <c r="H170" s="13"/>
      <c r="I170" s="14"/>
      <c r="J170" s="13"/>
      <c r="K170" s="13"/>
    </row>
    <row r="171" spans="1:11" ht="15" customHeight="1" x14ac:dyDescent="0.25">
      <c r="A171" s="13"/>
      <c r="B171" s="13"/>
      <c r="C171" s="13"/>
      <c r="D171" s="12"/>
      <c r="E171" s="12"/>
      <c r="F171" s="13"/>
      <c r="G171" s="14"/>
      <c r="H171" s="13"/>
      <c r="I171" s="14"/>
      <c r="J171" s="13"/>
      <c r="K171" s="13"/>
    </row>
    <row r="172" spans="1:11" ht="15" customHeight="1" x14ac:dyDescent="0.25">
      <c r="A172" s="13"/>
      <c r="B172" s="13"/>
      <c r="C172" s="13"/>
      <c r="D172" s="12"/>
      <c r="E172" s="12"/>
      <c r="F172" s="13"/>
      <c r="G172" s="14"/>
      <c r="H172" s="13"/>
      <c r="I172" s="14"/>
      <c r="J172" s="13"/>
      <c r="K172" s="13"/>
    </row>
    <row r="173" spans="1:11" ht="15" customHeight="1" x14ac:dyDescent="0.25">
      <c r="A173" s="13"/>
      <c r="B173" s="13"/>
      <c r="C173" s="13"/>
      <c r="D173" s="12"/>
      <c r="E173" s="12"/>
      <c r="F173" s="13"/>
      <c r="G173" s="14"/>
      <c r="H173" s="13"/>
      <c r="I173" s="14"/>
      <c r="J173" s="13"/>
      <c r="K173" s="13"/>
    </row>
    <row r="174" spans="1:11" ht="15" customHeight="1" x14ac:dyDescent="0.25">
      <c r="A174" s="13"/>
      <c r="B174" s="13"/>
      <c r="C174" s="13"/>
      <c r="D174" s="12"/>
      <c r="E174" s="12"/>
      <c r="F174" s="13"/>
      <c r="G174" s="14"/>
      <c r="H174" s="13"/>
      <c r="I174" s="14"/>
      <c r="J174" s="13"/>
      <c r="K174" s="13"/>
    </row>
    <row r="175" spans="1:11" ht="15" customHeight="1" x14ac:dyDescent="0.25">
      <c r="A175" s="13"/>
      <c r="B175" s="13"/>
      <c r="C175" s="13"/>
      <c r="D175" s="12"/>
      <c r="E175" s="12"/>
      <c r="F175" s="13"/>
      <c r="G175" s="14"/>
      <c r="H175" s="13"/>
      <c r="I175" s="14"/>
      <c r="J175" s="13"/>
      <c r="K175" s="13"/>
    </row>
    <row r="176" spans="1:11" ht="15" customHeight="1" x14ac:dyDescent="0.25">
      <c r="A176" s="13"/>
      <c r="B176" s="13"/>
      <c r="C176" s="13"/>
      <c r="D176" s="12"/>
      <c r="E176" s="12"/>
      <c r="F176" s="13"/>
      <c r="G176" s="14"/>
      <c r="H176" s="13"/>
      <c r="I176" s="14"/>
      <c r="J176" s="13"/>
      <c r="K176" s="13"/>
    </row>
    <row r="177" spans="1:11" ht="15" customHeight="1" x14ac:dyDescent="0.25">
      <c r="A177" s="13"/>
      <c r="B177" s="13"/>
      <c r="C177" s="13"/>
      <c r="D177" s="12"/>
      <c r="E177" s="12"/>
      <c r="F177" s="13"/>
      <c r="G177" s="14"/>
      <c r="H177" s="13"/>
      <c r="I177" s="14"/>
      <c r="J177" s="13"/>
      <c r="K177" s="13"/>
    </row>
    <row r="178" spans="1:11" ht="15" customHeight="1" x14ac:dyDescent="0.25">
      <c r="A178" s="13"/>
      <c r="B178" s="13"/>
      <c r="C178" s="13"/>
      <c r="D178" s="12"/>
      <c r="E178" s="12"/>
      <c r="F178" s="13"/>
      <c r="G178" s="14"/>
      <c r="H178" s="13"/>
      <c r="I178" s="14"/>
      <c r="J178" s="13"/>
      <c r="K178" s="13"/>
    </row>
    <row r="179" spans="1:11" ht="15" customHeight="1" x14ac:dyDescent="0.25">
      <c r="A179" s="13"/>
      <c r="B179" s="13"/>
      <c r="C179" s="13"/>
      <c r="D179" s="12"/>
      <c r="E179" s="12"/>
      <c r="F179" s="13"/>
      <c r="G179" s="14"/>
      <c r="H179" s="13"/>
      <c r="I179" s="14"/>
      <c r="J179" s="13"/>
      <c r="K179" s="13"/>
    </row>
    <row r="180" spans="1:11" ht="15" customHeight="1" x14ac:dyDescent="0.25">
      <c r="A180" s="13"/>
      <c r="B180" s="13"/>
      <c r="C180" s="13"/>
      <c r="D180" s="12"/>
      <c r="E180" s="12"/>
      <c r="F180" s="13"/>
      <c r="G180" s="14"/>
      <c r="H180" s="13"/>
      <c r="I180" s="14"/>
      <c r="J180" s="13"/>
      <c r="K180" s="13"/>
    </row>
    <row r="181" spans="1:11" ht="15" customHeight="1" x14ac:dyDescent="0.25">
      <c r="A181" s="13"/>
      <c r="B181" s="13"/>
      <c r="C181" s="13"/>
      <c r="D181" s="12"/>
      <c r="E181" s="12"/>
      <c r="F181" s="13"/>
      <c r="G181" s="14"/>
      <c r="H181" s="13"/>
      <c r="I181" s="14"/>
      <c r="J181" s="13"/>
      <c r="K181" s="13"/>
    </row>
    <row r="182" spans="1:11" ht="15" customHeight="1" x14ac:dyDescent="0.25">
      <c r="A182" s="13"/>
      <c r="B182" s="13"/>
      <c r="C182" s="13"/>
      <c r="D182" s="12"/>
      <c r="E182" s="12"/>
      <c r="F182" s="13"/>
      <c r="G182" s="14"/>
      <c r="H182" s="13"/>
      <c r="I182" s="14"/>
      <c r="J182" s="13"/>
      <c r="K182" s="13"/>
    </row>
    <row r="183" spans="1:11" ht="15" customHeight="1" x14ac:dyDescent="0.25">
      <c r="A183" s="13"/>
      <c r="B183" s="13"/>
      <c r="C183" s="13"/>
      <c r="D183" s="12"/>
      <c r="E183" s="12"/>
      <c r="F183" s="13"/>
      <c r="G183" s="14"/>
      <c r="H183" s="13"/>
      <c r="I183" s="14"/>
      <c r="J183" s="13"/>
      <c r="K183" s="13"/>
    </row>
    <row r="184" spans="1:11" ht="15" customHeight="1" x14ac:dyDescent="0.25">
      <c r="A184" s="13"/>
      <c r="B184" s="13"/>
      <c r="C184" s="13"/>
      <c r="D184" s="12"/>
      <c r="E184" s="12"/>
      <c r="F184" s="13"/>
      <c r="G184" s="14"/>
      <c r="H184" s="13"/>
      <c r="I184" s="14"/>
      <c r="J184" s="13"/>
      <c r="K184" s="13"/>
    </row>
    <row r="185" spans="1:11" ht="15" customHeight="1" x14ac:dyDescent="0.25">
      <c r="A185" s="13"/>
      <c r="B185" s="13"/>
      <c r="C185" s="13"/>
      <c r="D185" s="12"/>
      <c r="E185" s="12"/>
      <c r="F185" s="13"/>
      <c r="G185" s="14"/>
      <c r="H185" s="13"/>
      <c r="I185" s="14"/>
      <c r="J185" s="13"/>
      <c r="K185" s="13"/>
    </row>
    <row r="186" spans="1:11" ht="15" customHeight="1" x14ac:dyDescent="0.25">
      <c r="A186" s="13"/>
      <c r="B186" s="13"/>
      <c r="C186" s="13"/>
      <c r="D186" s="12"/>
      <c r="E186" s="12"/>
      <c r="F186" s="13"/>
      <c r="G186" s="14"/>
      <c r="H186" s="13"/>
      <c r="I186" s="14"/>
      <c r="J186" s="13"/>
      <c r="K186" s="13"/>
    </row>
    <row r="187" spans="1:11" ht="15" customHeight="1" x14ac:dyDescent="0.25">
      <c r="A187" s="13"/>
      <c r="B187" s="13"/>
      <c r="C187" s="13"/>
      <c r="D187" s="12"/>
      <c r="E187" s="12"/>
      <c r="F187" s="13"/>
      <c r="G187" s="14"/>
      <c r="H187" s="13"/>
      <c r="I187" s="14"/>
      <c r="J187" s="13"/>
      <c r="K187" s="13"/>
    </row>
    <row r="188" spans="1:11" ht="15" customHeight="1" x14ac:dyDescent="0.25">
      <c r="A188" s="13"/>
      <c r="B188" s="13"/>
      <c r="C188" s="13"/>
      <c r="D188" s="12"/>
      <c r="E188" s="12"/>
      <c r="F188" s="13"/>
      <c r="G188" s="14"/>
      <c r="H188" s="13"/>
      <c r="I188" s="14"/>
      <c r="J188" s="13"/>
      <c r="K188" s="13"/>
    </row>
    <row r="189" spans="1:11" ht="15" customHeight="1" x14ac:dyDescent="0.25">
      <c r="A189" s="13"/>
      <c r="B189" s="13"/>
      <c r="C189" s="13"/>
      <c r="D189" s="12"/>
      <c r="E189" s="12"/>
      <c r="F189" s="13"/>
      <c r="G189" s="14"/>
      <c r="H189" s="13"/>
      <c r="I189" s="14"/>
      <c r="J189" s="13"/>
      <c r="K189" s="13"/>
    </row>
    <row r="190" spans="1:11" ht="15" customHeight="1" x14ac:dyDescent="0.25">
      <c r="A190" s="13"/>
      <c r="B190" s="13"/>
      <c r="C190" s="13"/>
      <c r="D190" s="12"/>
      <c r="E190" s="12"/>
      <c r="F190" s="13"/>
      <c r="G190" s="14"/>
      <c r="H190" s="13"/>
      <c r="I190" s="14"/>
      <c r="J190" s="13"/>
      <c r="K190" s="13"/>
    </row>
    <row r="191" spans="1:11" ht="15" customHeight="1" x14ac:dyDescent="0.25">
      <c r="A191" s="13"/>
      <c r="B191" s="13"/>
      <c r="C191" s="13"/>
      <c r="D191" s="12"/>
      <c r="E191" s="12"/>
      <c r="F191" s="13"/>
      <c r="G191" s="14"/>
      <c r="H191" s="13"/>
      <c r="I191" s="14"/>
      <c r="J191" s="13"/>
      <c r="K191" s="13"/>
    </row>
    <row r="192" spans="1:11" ht="15" customHeight="1" x14ac:dyDescent="0.25">
      <c r="A192" s="13"/>
      <c r="B192" s="13"/>
      <c r="C192" s="13"/>
      <c r="D192" s="12"/>
      <c r="E192" s="12"/>
      <c r="F192" s="13"/>
      <c r="G192" s="14"/>
      <c r="H192" s="13"/>
      <c r="I192" s="14"/>
      <c r="J192" s="13"/>
      <c r="K192" s="13"/>
    </row>
    <row r="193" spans="1:11" ht="15" customHeight="1" x14ac:dyDescent="0.25">
      <c r="A193" s="13"/>
      <c r="B193" s="13"/>
      <c r="C193" s="13"/>
      <c r="D193" s="12"/>
      <c r="E193" s="12"/>
      <c r="F193" s="13"/>
      <c r="G193" s="14"/>
      <c r="H193" s="13"/>
      <c r="I193" s="14"/>
      <c r="J193" s="13"/>
      <c r="K193" s="13"/>
    </row>
    <row r="194" spans="1:11" ht="15" customHeight="1" x14ac:dyDescent="0.25">
      <c r="A194" s="13"/>
      <c r="B194" s="13"/>
      <c r="C194" s="13"/>
      <c r="D194" s="12"/>
      <c r="E194" s="12"/>
      <c r="F194" s="13"/>
      <c r="G194" s="14"/>
      <c r="H194" s="13"/>
      <c r="I194" s="14"/>
      <c r="J194" s="13"/>
      <c r="K194" s="13"/>
    </row>
    <row r="195" spans="1:11" ht="15" customHeight="1" x14ac:dyDescent="0.25">
      <c r="A195" s="13"/>
      <c r="B195" s="13"/>
      <c r="C195" s="13"/>
      <c r="D195" s="12"/>
      <c r="E195" s="12"/>
      <c r="F195" s="13"/>
      <c r="G195" s="14"/>
      <c r="H195" s="13"/>
      <c r="I195" s="14"/>
      <c r="J195" s="13"/>
      <c r="K195" s="13"/>
    </row>
    <row r="196" spans="1:11" ht="15" customHeight="1" x14ac:dyDescent="0.25">
      <c r="A196" s="13"/>
      <c r="B196" s="13"/>
      <c r="C196" s="13"/>
      <c r="D196" s="12"/>
      <c r="E196" s="12"/>
      <c r="F196" s="13"/>
      <c r="G196" s="14"/>
      <c r="H196" s="13"/>
      <c r="I196" s="14"/>
      <c r="J196" s="13"/>
      <c r="K196" s="13"/>
    </row>
    <row r="197" spans="1:11" ht="15" customHeight="1" x14ac:dyDescent="0.25">
      <c r="A197" s="13"/>
      <c r="B197" s="13"/>
      <c r="C197" s="13"/>
      <c r="D197" s="12"/>
      <c r="E197" s="12"/>
      <c r="F197" s="13"/>
      <c r="G197" s="14"/>
      <c r="H197" s="13"/>
      <c r="I197" s="14"/>
      <c r="J197" s="13"/>
      <c r="K197" s="13"/>
    </row>
    <row r="198" spans="1:11" ht="15" customHeight="1" x14ac:dyDescent="0.25">
      <c r="A198" s="13"/>
      <c r="B198" s="13"/>
      <c r="C198" s="13"/>
      <c r="D198" s="12"/>
      <c r="E198" s="12"/>
      <c r="F198" s="13"/>
      <c r="G198" s="14"/>
      <c r="H198" s="13"/>
      <c r="I198" s="14"/>
      <c r="J198" s="13"/>
      <c r="K198" s="13"/>
    </row>
    <row r="199" spans="1:11" ht="15" customHeight="1" x14ac:dyDescent="0.25">
      <c r="A199" s="13"/>
      <c r="B199" s="13"/>
      <c r="C199" s="13"/>
      <c r="D199" s="12"/>
      <c r="E199" s="12"/>
      <c r="F199" s="13"/>
      <c r="G199" s="14"/>
      <c r="H199" s="13"/>
      <c r="I199" s="14"/>
      <c r="J199" s="13"/>
      <c r="K199" s="13"/>
    </row>
    <row r="200" spans="1:11" ht="15" customHeight="1" x14ac:dyDescent="0.25">
      <c r="A200" s="13"/>
      <c r="B200" s="13"/>
      <c r="C200" s="13"/>
      <c r="D200" s="12"/>
      <c r="E200" s="12"/>
      <c r="F200" s="13"/>
      <c r="G200" s="14"/>
      <c r="H200" s="13"/>
      <c r="I200" s="14"/>
      <c r="J200" s="13"/>
      <c r="K200" s="13"/>
    </row>
    <row r="201" spans="1:11" ht="15" customHeight="1" x14ac:dyDescent="0.25">
      <c r="A201" s="13"/>
      <c r="B201" s="13"/>
      <c r="C201" s="13"/>
      <c r="D201" s="12"/>
      <c r="E201" s="12"/>
      <c r="F201" s="13"/>
      <c r="G201" s="14"/>
      <c r="H201" s="13"/>
      <c r="I201" s="14"/>
      <c r="J201" s="13"/>
      <c r="K201" s="13"/>
    </row>
    <row r="202" spans="1:11" ht="15" customHeight="1" x14ac:dyDescent="0.25">
      <c r="A202" s="13"/>
      <c r="B202" s="13"/>
      <c r="C202" s="13"/>
      <c r="D202" s="12"/>
      <c r="E202" s="12"/>
      <c r="F202" s="13"/>
      <c r="G202" s="14"/>
      <c r="H202" s="13"/>
      <c r="I202" s="14"/>
      <c r="J202" s="13"/>
      <c r="K202" s="13"/>
    </row>
    <row r="203" spans="1:11" ht="15" customHeight="1" x14ac:dyDescent="0.25">
      <c r="A203" s="13"/>
      <c r="B203" s="13"/>
      <c r="C203" s="13"/>
      <c r="D203" s="12"/>
      <c r="E203" s="12"/>
      <c r="F203" s="13"/>
      <c r="G203" s="14"/>
      <c r="H203" s="13"/>
      <c r="I203" s="14"/>
      <c r="J203" s="13"/>
      <c r="K203" s="13"/>
    </row>
    <row r="204" spans="1:11" ht="15" customHeight="1" x14ac:dyDescent="0.25">
      <c r="A204" s="13"/>
      <c r="B204" s="13"/>
      <c r="C204" s="13"/>
      <c r="D204" s="12"/>
      <c r="E204" s="12"/>
      <c r="F204" s="13"/>
      <c r="G204" s="14"/>
      <c r="H204" s="13"/>
      <c r="I204" s="14"/>
      <c r="J204" s="13"/>
      <c r="K204" s="13"/>
    </row>
    <row r="205" spans="1:11" ht="15" customHeight="1" x14ac:dyDescent="0.25">
      <c r="A205" s="13"/>
      <c r="B205" s="13"/>
      <c r="C205" s="13"/>
      <c r="D205" s="12"/>
      <c r="E205" s="12"/>
      <c r="F205" s="13"/>
      <c r="G205" s="14"/>
      <c r="H205" s="13"/>
      <c r="I205" s="14"/>
      <c r="J205" s="13"/>
      <c r="K205" s="13"/>
    </row>
    <row r="206" spans="1:11" ht="15" customHeight="1" x14ac:dyDescent="0.25">
      <c r="A206" s="13"/>
      <c r="B206" s="13"/>
      <c r="C206" s="13"/>
      <c r="D206" s="12"/>
      <c r="E206" s="12"/>
      <c r="F206" s="13"/>
      <c r="G206" s="14"/>
      <c r="H206" s="13"/>
      <c r="I206" s="14"/>
      <c r="J206" s="13"/>
      <c r="K206" s="13"/>
    </row>
    <row r="207" spans="1:11" ht="15" customHeight="1" x14ac:dyDescent="0.25">
      <c r="A207" s="13"/>
      <c r="B207" s="13"/>
      <c r="C207" s="13"/>
      <c r="D207" s="12"/>
      <c r="E207" s="12"/>
      <c r="F207" s="13"/>
      <c r="G207" s="14"/>
      <c r="H207" s="13"/>
      <c r="I207" s="14"/>
      <c r="J207" s="13"/>
      <c r="K207" s="13"/>
    </row>
    <row r="208" spans="1:11" ht="15" customHeight="1" x14ac:dyDescent="0.25">
      <c r="A208" s="13"/>
      <c r="B208" s="13"/>
      <c r="C208" s="13"/>
      <c r="D208" s="12"/>
      <c r="E208" s="12"/>
      <c r="F208" s="13"/>
      <c r="G208" s="14"/>
      <c r="H208" s="13"/>
      <c r="I208" s="14"/>
      <c r="J208" s="13"/>
      <c r="K208" s="13"/>
    </row>
    <row r="209" spans="1:11" ht="15" customHeight="1" x14ac:dyDescent="0.25">
      <c r="A209" s="13"/>
      <c r="B209" s="13"/>
      <c r="C209" s="13"/>
      <c r="D209" s="12"/>
      <c r="E209" s="12"/>
      <c r="F209" s="13"/>
      <c r="G209" s="14"/>
      <c r="H209" s="13"/>
      <c r="I209" s="14"/>
      <c r="J209" s="13"/>
      <c r="K209" s="13"/>
    </row>
    <row r="210" spans="1:11" ht="15" customHeight="1" x14ac:dyDescent="0.25">
      <c r="A210" s="13"/>
      <c r="B210" s="13"/>
      <c r="C210" s="13"/>
      <c r="D210" s="12"/>
      <c r="E210" s="12"/>
      <c r="F210" s="13"/>
      <c r="G210" s="14"/>
      <c r="H210" s="13"/>
      <c r="I210" s="14"/>
      <c r="J210" s="13"/>
      <c r="K210" s="13"/>
    </row>
    <row r="211" spans="1:11" ht="15" customHeight="1" x14ac:dyDescent="0.25">
      <c r="A211" s="13"/>
      <c r="B211" s="13"/>
      <c r="C211" s="13"/>
      <c r="D211" s="12"/>
      <c r="E211" s="12"/>
      <c r="F211" s="13"/>
      <c r="G211" s="14"/>
      <c r="H211" s="13"/>
      <c r="I211" s="14"/>
      <c r="J211" s="13"/>
      <c r="K211" s="13"/>
    </row>
    <row r="212" spans="1:11" ht="15" customHeight="1" x14ac:dyDescent="0.25">
      <c r="A212" s="13"/>
      <c r="B212" s="13"/>
      <c r="C212" s="13"/>
      <c r="D212" s="12"/>
      <c r="E212" s="12"/>
      <c r="F212" s="13"/>
      <c r="G212" s="14"/>
      <c r="H212" s="13"/>
      <c r="I212" s="14"/>
      <c r="J212" s="13"/>
      <c r="K212" s="13"/>
    </row>
    <row r="213" spans="1:11" ht="15" customHeight="1" x14ac:dyDescent="0.25">
      <c r="A213" s="13"/>
      <c r="B213" s="13"/>
      <c r="C213" s="13"/>
      <c r="D213" s="12"/>
      <c r="E213" s="12"/>
      <c r="F213" s="13"/>
      <c r="G213" s="14"/>
      <c r="H213" s="13"/>
      <c r="I213" s="14"/>
      <c r="J213" s="13"/>
      <c r="K213" s="13"/>
    </row>
    <row r="214" spans="1:11" ht="15" customHeight="1" x14ac:dyDescent="0.25">
      <c r="A214" s="13"/>
      <c r="B214" s="13"/>
      <c r="C214" s="13"/>
      <c r="D214" s="12"/>
      <c r="E214" s="12"/>
      <c r="F214" s="13"/>
      <c r="G214" s="14"/>
      <c r="H214" s="13"/>
      <c r="I214" s="14"/>
      <c r="J214" s="13"/>
      <c r="K214" s="13"/>
    </row>
    <row r="215" spans="1:11" ht="15" customHeight="1" x14ac:dyDescent="0.25">
      <c r="A215" s="13"/>
      <c r="B215" s="13"/>
      <c r="C215" s="13"/>
      <c r="D215" s="12"/>
      <c r="E215" s="12"/>
      <c r="F215" s="13"/>
      <c r="G215" s="14"/>
      <c r="H215" s="13"/>
      <c r="I215" s="14"/>
      <c r="J215" s="13"/>
      <c r="K215" s="13"/>
    </row>
    <row r="216" spans="1:11" ht="15" customHeight="1" x14ac:dyDescent="0.25">
      <c r="A216" s="13"/>
      <c r="B216" s="13"/>
      <c r="C216" s="13"/>
      <c r="D216" s="12"/>
      <c r="E216" s="12"/>
      <c r="F216" s="13"/>
      <c r="G216" s="14"/>
      <c r="H216" s="13"/>
      <c r="I216" s="14"/>
      <c r="J216" s="13"/>
      <c r="K216" s="13"/>
    </row>
    <row r="217" spans="1:11" ht="15" customHeight="1" x14ac:dyDescent="0.25">
      <c r="A217" s="13"/>
      <c r="B217" s="13"/>
      <c r="C217" s="13"/>
      <c r="D217" s="12"/>
      <c r="E217" s="12"/>
      <c r="F217" s="13"/>
      <c r="G217" s="14"/>
      <c r="H217" s="13"/>
      <c r="I217" s="14"/>
      <c r="J217" s="13"/>
      <c r="K217" s="13"/>
    </row>
    <row r="218" spans="1:11" ht="15" customHeight="1" x14ac:dyDescent="0.25">
      <c r="A218" s="13"/>
      <c r="B218" s="13"/>
      <c r="C218" s="13"/>
      <c r="D218" s="12"/>
      <c r="E218" s="12"/>
      <c r="F218" s="13"/>
      <c r="G218" s="14"/>
      <c r="H218" s="13"/>
      <c r="I218" s="14"/>
      <c r="J218" s="13"/>
      <c r="K218" s="13"/>
    </row>
    <row r="219" spans="1:11" ht="15" customHeight="1" x14ac:dyDescent="0.25">
      <c r="A219" s="13"/>
      <c r="B219" s="13"/>
      <c r="C219" s="13"/>
      <c r="D219" s="12"/>
      <c r="E219" s="12"/>
      <c r="F219" s="13"/>
      <c r="G219" s="14"/>
      <c r="H219" s="13"/>
      <c r="I219" s="14"/>
      <c r="J219" s="13"/>
      <c r="K219" s="13"/>
    </row>
    <row r="220" spans="1:11" ht="15" customHeight="1" x14ac:dyDescent="0.25">
      <c r="A220" s="13"/>
      <c r="B220" s="13"/>
      <c r="C220" s="13"/>
      <c r="D220" s="12"/>
      <c r="E220" s="12"/>
      <c r="F220" s="13"/>
      <c r="G220" s="14"/>
      <c r="H220" s="13"/>
      <c r="I220" s="14"/>
      <c r="J220" s="13"/>
      <c r="K220" s="13"/>
    </row>
    <row r="221" spans="1:11" ht="15" customHeight="1" x14ac:dyDescent="0.25">
      <c r="A221" s="13"/>
      <c r="B221" s="13"/>
      <c r="C221" s="13"/>
      <c r="D221" s="12"/>
      <c r="E221" s="12"/>
      <c r="F221" s="13"/>
      <c r="G221" s="14"/>
      <c r="H221" s="13"/>
      <c r="I221" s="14"/>
      <c r="J221" s="13"/>
      <c r="K221" s="13"/>
    </row>
    <row r="222" spans="1:11" ht="15" customHeight="1" x14ac:dyDescent="0.25">
      <c r="A222" s="13"/>
      <c r="B222" s="13"/>
      <c r="C222" s="13"/>
      <c r="D222" s="12"/>
      <c r="E222" s="12"/>
      <c r="F222" s="13"/>
      <c r="G222" s="14"/>
      <c r="H222" s="13"/>
      <c r="I222" s="14"/>
      <c r="J222" s="13"/>
      <c r="K222" s="13"/>
    </row>
    <row r="223" spans="1:11" ht="15" customHeight="1" x14ac:dyDescent="0.25">
      <c r="A223" s="13"/>
      <c r="B223" s="13"/>
      <c r="C223" s="13"/>
      <c r="D223" s="12"/>
      <c r="E223" s="12"/>
      <c r="F223" s="13"/>
      <c r="G223" s="14"/>
      <c r="H223" s="13"/>
      <c r="I223" s="14"/>
      <c r="J223" s="13"/>
      <c r="K223" s="13"/>
    </row>
    <row r="224" spans="1:11" ht="15" customHeight="1" x14ac:dyDescent="0.25">
      <c r="A224" s="13"/>
      <c r="B224" s="13"/>
      <c r="C224" s="13"/>
      <c r="D224" s="12"/>
      <c r="E224" s="12"/>
      <c r="F224" s="13"/>
      <c r="G224" s="14"/>
      <c r="H224" s="13"/>
      <c r="I224" s="14"/>
      <c r="J224" s="13"/>
      <c r="K224" s="13"/>
    </row>
    <row r="225" spans="1:11" ht="15" customHeight="1" x14ac:dyDescent="0.25">
      <c r="A225" s="13"/>
      <c r="B225" s="13"/>
      <c r="C225" s="13"/>
      <c r="D225" s="12"/>
      <c r="E225" s="12"/>
      <c r="F225" s="13"/>
      <c r="G225" s="14"/>
      <c r="H225" s="13"/>
      <c r="I225" s="14"/>
      <c r="J225" s="13"/>
      <c r="K225" s="13"/>
    </row>
    <row r="226" spans="1:11" ht="15" customHeight="1" x14ac:dyDescent="0.25">
      <c r="A226" s="13"/>
      <c r="B226" s="13"/>
      <c r="C226" s="13"/>
      <c r="D226" s="12"/>
      <c r="E226" s="12"/>
      <c r="F226" s="13"/>
      <c r="G226" s="14"/>
      <c r="H226" s="13"/>
      <c r="I226" s="14"/>
      <c r="J226" s="13"/>
      <c r="K226" s="13"/>
    </row>
    <row r="227" spans="1:11" ht="15" customHeight="1" x14ac:dyDescent="0.25">
      <c r="A227" s="13"/>
      <c r="B227" s="13"/>
      <c r="C227" s="13"/>
      <c r="D227" s="12"/>
      <c r="E227" s="12"/>
      <c r="F227" s="13"/>
      <c r="G227" s="14"/>
      <c r="H227" s="13"/>
      <c r="I227" s="14"/>
      <c r="J227" s="13"/>
      <c r="K227" s="13"/>
    </row>
    <row r="228" spans="1:11" ht="15" customHeight="1" x14ac:dyDescent="0.25">
      <c r="A228" s="13"/>
      <c r="B228" s="13"/>
      <c r="C228" s="13"/>
      <c r="D228" s="12"/>
      <c r="E228" s="12"/>
      <c r="F228" s="13"/>
      <c r="G228" s="14"/>
      <c r="H228" s="13"/>
      <c r="I228" s="14"/>
      <c r="J228" s="13"/>
      <c r="K228" s="13"/>
    </row>
    <row r="229" spans="1:11" ht="15" customHeight="1" x14ac:dyDescent="0.25">
      <c r="A229" s="13"/>
      <c r="B229" s="13"/>
      <c r="C229" s="13"/>
      <c r="D229" s="12"/>
      <c r="E229" s="12"/>
      <c r="F229" s="13"/>
      <c r="G229" s="14"/>
      <c r="H229" s="13"/>
      <c r="I229" s="14"/>
      <c r="J229" s="13"/>
      <c r="K229" s="13"/>
    </row>
    <row r="230" spans="1:11" ht="15" customHeight="1" x14ac:dyDescent="0.25">
      <c r="A230" s="13"/>
      <c r="B230" s="13"/>
      <c r="C230" s="13"/>
      <c r="D230" s="12"/>
      <c r="E230" s="12"/>
      <c r="F230" s="13"/>
      <c r="G230" s="14"/>
      <c r="H230" s="13"/>
      <c r="I230" s="14"/>
      <c r="J230" s="13"/>
      <c r="K230" s="13"/>
    </row>
    <row r="231" spans="1:11" ht="15" customHeight="1" x14ac:dyDescent="0.25">
      <c r="A231" s="13"/>
      <c r="B231" s="13"/>
      <c r="C231" s="13"/>
      <c r="D231" s="12"/>
      <c r="E231" s="12"/>
      <c r="F231" s="13"/>
      <c r="G231" s="14"/>
      <c r="H231" s="13"/>
      <c r="I231" s="14"/>
      <c r="J231" s="13"/>
      <c r="K231" s="13"/>
    </row>
    <row r="232" spans="1:11" ht="15" customHeight="1" x14ac:dyDescent="0.25">
      <c r="A232" s="13"/>
      <c r="B232" s="13"/>
      <c r="C232" s="13"/>
      <c r="D232" s="12"/>
      <c r="E232" s="12"/>
      <c r="F232" s="13"/>
      <c r="G232" s="14"/>
      <c r="H232" s="13"/>
      <c r="I232" s="14"/>
      <c r="J232" s="13"/>
      <c r="K232" s="13"/>
    </row>
    <row r="233" spans="1:11" ht="15" customHeight="1" x14ac:dyDescent="0.25">
      <c r="A233" s="13"/>
      <c r="B233" s="13"/>
      <c r="C233" s="13"/>
      <c r="D233" s="12"/>
      <c r="E233" s="12"/>
      <c r="F233" s="13"/>
      <c r="G233" s="14"/>
      <c r="H233" s="13"/>
      <c r="I233" s="14"/>
      <c r="J233" s="13"/>
      <c r="K233" s="13"/>
    </row>
    <row r="234" spans="1:11" ht="15" customHeight="1" x14ac:dyDescent="0.25">
      <c r="A234" s="13"/>
      <c r="B234" s="13"/>
      <c r="C234" s="13"/>
      <c r="D234" s="12"/>
      <c r="E234" s="12"/>
      <c r="F234" s="13"/>
      <c r="G234" s="14"/>
      <c r="H234" s="13"/>
      <c r="I234" s="14"/>
      <c r="J234" s="13"/>
      <c r="K234" s="13"/>
    </row>
    <row r="235" spans="1:11" ht="15" customHeight="1" x14ac:dyDescent="0.25">
      <c r="A235" s="13"/>
      <c r="B235" s="13"/>
      <c r="C235" s="13"/>
      <c r="D235" s="12"/>
      <c r="E235" s="12"/>
      <c r="F235" s="13"/>
      <c r="G235" s="14"/>
      <c r="H235" s="13"/>
      <c r="I235" s="14"/>
      <c r="J235" s="13"/>
      <c r="K235" s="13"/>
    </row>
    <row r="236" spans="1:11" ht="15" customHeight="1" x14ac:dyDescent="0.25">
      <c r="A236" s="13"/>
      <c r="B236" s="13"/>
      <c r="C236" s="13"/>
      <c r="D236" s="12"/>
      <c r="E236" s="12"/>
      <c r="F236" s="13"/>
      <c r="G236" s="14"/>
      <c r="H236" s="13"/>
      <c r="I236" s="14"/>
      <c r="J236" s="13"/>
      <c r="K236" s="13"/>
    </row>
    <row r="237" spans="1:11" ht="15" customHeight="1" x14ac:dyDescent="0.25">
      <c r="A237" s="13"/>
      <c r="B237" s="13"/>
      <c r="C237" s="13"/>
      <c r="D237" s="12"/>
      <c r="E237" s="12"/>
      <c r="F237" s="13"/>
      <c r="G237" s="14"/>
      <c r="H237" s="13"/>
      <c r="I237" s="14"/>
      <c r="J237" s="13"/>
      <c r="K237" s="13"/>
    </row>
    <row r="238" spans="1:11" ht="15" customHeight="1" x14ac:dyDescent="0.25">
      <c r="A238" s="13"/>
      <c r="B238" s="13"/>
      <c r="C238" s="13"/>
      <c r="D238" s="12"/>
      <c r="E238" s="12"/>
      <c r="F238" s="13"/>
      <c r="G238" s="14"/>
      <c r="H238" s="13"/>
      <c r="I238" s="14"/>
      <c r="J238" s="13"/>
      <c r="K238" s="13"/>
    </row>
    <row r="239" spans="1:11" ht="15" customHeight="1" x14ac:dyDescent="0.25">
      <c r="A239" s="13"/>
      <c r="B239" s="13"/>
      <c r="C239" s="13"/>
      <c r="D239" s="12"/>
      <c r="E239" s="12"/>
      <c r="F239" s="13"/>
      <c r="G239" s="14"/>
      <c r="H239" s="13"/>
      <c r="I239" s="14"/>
      <c r="J239" s="13"/>
      <c r="K239" s="13"/>
    </row>
    <row r="240" spans="1:11" ht="15" customHeight="1" x14ac:dyDescent="0.25">
      <c r="A240" s="13"/>
      <c r="B240" s="13"/>
      <c r="C240" s="13"/>
      <c r="D240" s="12"/>
      <c r="E240" s="12"/>
      <c r="F240" s="13"/>
      <c r="G240" s="14"/>
      <c r="H240" s="13"/>
      <c r="I240" s="14"/>
      <c r="J240" s="13"/>
      <c r="K240" s="13"/>
    </row>
    <row r="241" spans="1:11" ht="15" customHeight="1" x14ac:dyDescent="0.25">
      <c r="A241" s="13"/>
      <c r="B241" s="13"/>
      <c r="C241" s="13"/>
      <c r="D241" s="12"/>
      <c r="E241" s="12"/>
      <c r="F241" s="13"/>
      <c r="G241" s="14"/>
      <c r="H241" s="13"/>
      <c r="I241" s="14"/>
      <c r="J241" s="13"/>
      <c r="K241" s="13"/>
    </row>
    <row r="242" spans="1:11" ht="15" customHeight="1" x14ac:dyDescent="0.25">
      <c r="A242" s="13"/>
      <c r="B242" s="13"/>
      <c r="C242" s="13"/>
      <c r="D242" s="12"/>
      <c r="E242" s="12"/>
      <c r="F242" s="13"/>
      <c r="G242" s="14"/>
      <c r="H242" s="13"/>
      <c r="I242" s="14"/>
      <c r="J242" s="13"/>
      <c r="K242" s="13"/>
    </row>
    <row r="243" spans="1:11" ht="15" customHeight="1" x14ac:dyDescent="0.25">
      <c r="A243" s="13"/>
      <c r="B243" s="13"/>
      <c r="C243" s="13"/>
      <c r="D243" s="12"/>
      <c r="E243" s="12"/>
      <c r="F243" s="13"/>
      <c r="G243" s="14"/>
      <c r="H243" s="13"/>
      <c r="I243" s="14"/>
      <c r="J243" s="13"/>
      <c r="K243" s="13"/>
    </row>
    <row r="244" spans="1:11" ht="15" customHeight="1" x14ac:dyDescent="0.25">
      <c r="A244" s="13"/>
      <c r="B244" s="13"/>
      <c r="C244" s="13"/>
      <c r="D244" s="12"/>
      <c r="E244" s="12"/>
      <c r="F244" s="13"/>
      <c r="G244" s="14"/>
      <c r="H244" s="13"/>
      <c r="I244" s="14"/>
      <c r="J244" s="13"/>
      <c r="K244" s="13"/>
    </row>
    <row r="245" spans="1:11" ht="15" customHeight="1" x14ac:dyDescent="0.25">
      <c r="A245" s="13"/>
      <c r="B245" s="13"/>
      <c r="C245" s="13"/>
      <c r="D245" s="12"/>
      <c r="E245" s="12"/>
      <c r="F245" s="13"/>
      <c r="G245" s="14"/>
      <c r="H245" s="13"/>
      <c r="I245" s="14"/>
      <c r="J245" s="13"/>
      <c r="K245" s="13"/>
    </row>
    <row r="246" spans="1:11" ht="15" customHeight="1" x14ac:dyDescent="0.25">
      <c r="A246" s="13"/>
      <c r="B246" s="13"/>
      <c r="C246" s="13"/>
      <c r="D246" s="12"/>
      <c r="E246" s="12"/>
      <c r="F246" s="13"/>
      <c r="G246" s="14"/>
      <c r="H246" s="13"/>
      <c r="I246" s="14"/>
      <c r="J246" s="13"/>
      <c r="K246" s="13"/>
    </row>
    <row r="247" spans="1:11" ht="15" customHeight="1" x14ac:dyDescent="0.25">
      <c r="A247" s="13"/>
      <c r="B247" s="13"/>
      <c r="C247" s="13"/>
      <c r="D247" s="12"/>
      <c r="E247" s="12"/>
      <c r="F247" s="13"/>
      <c r="G247" s="14"/>
      <c r="H247" s="13"/>
      <c r="I247" s="14"/>
      <c r="J247" s="13"/>
      <c r="K247" s="13"/>
    </row>
    <row r="248" spans="1:11" ht="15" customHeight="1" x14ac:dyDescent="0.25">
      <c r="A248" s="13"/>
      <c r="B248" s="13"/>
      <c r="C248" s="13"/>
      <c r="D248" s="12"/>
      <c r="E248" s="12"/>
      <c r="F248" s="13"/>
      <c r="G248" s="14"/>
      <c r="H248" s="13"/>
      <c r="I248" s="14"/>
      <c r="J248" s="13"/>
      <c r="K248" s="13"/>
    </row>
    <row r="249" spans="1:11" ht="15" customHeight="1" x14ac:dyDescent="0.25">
      <c r="A249" s="13"/>
      <c r="B249" s="13"/>
      <c r="C249" s="13"/>
      <c r="D249" s="12"/>
      <c r="E249" s="12"/>
      <c r="F249" s="13"/>
      <c r="G249" s="14"/>
      <c r="H249" s="13"/>
      <c r="I249" s="14"/>
      <c r="J249" s="13"/>
      <c r="K249" s="13"/>
    </row>
    <row r="250" spans="1:11" ht="15" customHeight="1" x14ac:dyDescent="0.25">
      <c r="A250" s="13"/>
      <c r="B250" s="13"/>
      <c r="C250" s="13"/>
      <c r="D250" s="12"/>
      <c r="E250" s="12"/>
      <c r="F250" s="13"/>
      <c r="G250" s="14"/>
      <c r="H250" s="13"/>
      <c r="I250" s="14"/>
      <c r="J250" s="13"/>
      <c r="K250" s="13"/>
    </row>
    <row r="251" spans="1:11" ht="15" customHeight="1" x14ac:dyDescent="0.25">
      <c r="A251" s="13"/>
      <c r="B251" s="13"/>
      <c r="C251" s="13"/>
      <c r="D251" s="12"/>
      <c r="E251" s="12"/>
      <c r="F251" s="13"/>
      <c r="G251" s="14"/>
      <c r="H251" s="13"/>
      <c r="I251" s="14"/>
      <c r="J251" s="13"/>
      <c r="K251" s="13"/>
    </row>
    <row r="252" spans="1:11" ht="15" customHeight="1" x14ac:dyDescent="0.25">
      <c r="A252" s="13"/>
      <c r="B252" s="13"/>
      <c r="C252" s="13"/>
      <c r="D252" s="12"/>
      <c r="E252" s="12"/>
      <c r="F252" s="13"/>
      <c r="G252" s="14"/>
      <c r="H252" s="13"/>
      <c r="I252" s="14"/>
      <c r="J252" s="13"/>
      <c r="K252" s="13"/>
    </row>
    <row r="253" spans="1:11" ht="15" customHeight="1" x14ac:dyDescent="0.25">
      <c r="A253" s="13"/>
      <c r="B253" s="13"/>
      <c r="C253" s="13"/>
      <c r="D253" s="12"/>
      <c r="E253" s="12"/>
      <c r="F253" s="13"/>
      <c r="G253" s="14"/>
      <c r="H253" s="13"/>
      <c r="I253" s="14"/>
      <c r="J253" s="13"/>
      <c r="K253" s="13"/>
    </row>
    <row r="254" spans="1:11" ht="15" customHeight="1" x14ac:dyDescent="0.25">
      <c r="A254" s="13"/>
      <c r="B254" s="13"/>
      <c r="C254" s="13"/>
      <c r="D254" s="12"/>
      <c r="E254" s="12"/>
      <c r="F254" s="13"/>
      <c r="G254" s="14"/>
      <c r="H254" s="13"/>
      <c r="I254" s="14"/>
      <c r="J254" s="13"/>
      <c r="K254" s="13"/>
    </row>
    <row r="255" spans="1:11" ht="15" customHeight="1" x14ac:dyDescent="0.25">
      <c r="A255" s="13"/>
      <c r="B255" s="13"/>
      <c r="C255" s="13"/>
      <c r="D255" s="12"/>
      <c r="E255" s="12"/>
      <c r="F255" s="13"/>
      <c r="G255" s="14"/>
      <c r="H255" s="13"/>
      <c r="I255" s="14"/>
      <c r="J255" s="13"/>
      <c r="K255" s="13"/>
    </row>
    <row r="256" spans="1:11" ht="15" customHeight="1" x14ac:dyDescent="0.25">
      <c r="A256" s="13"/>
      <c r="B256" s="13"/>
      <c r="C256" s="13"/>
      <c r="D256" s="12"/>
      <c r="E256" s="12"/>
      <c r="F256" s="13"/>
      <c r="G256" s="14"/>
      <c r="H256" s="13"/>
      <c r="I256" s="14"/>
      <c r="J256" s="13"/>
      <c r="K256" s="13"/>
    </row>
    <row r="257" spans="1:11" ht="15" customHeight="1" x14ac:dyDescent="0.25">
      <c r="A257" s="13"/>
      <c r="B257" s="13"/>
      <c r="C257" s="13"/>
      <c r="D257" s="12"/>
      <c r="E257" s="12"/>
      <c r="F257" s="13"/>
      <c r="G257" s="14"/>
      <c r="H257" s="13"/>
      <c r="I257" s="14"/>
      <c r="J257" s="13"/>
      <c r="K257" s="13"/>
    </row>
    <row r="258" spans="1:11" ht="15" customHeight="1" x14ac:dyDescent="0.25">
      <c r="A258" s="13"/>
      <c r="B258" s="13"/>
      <c r="C258" s="13"/>
      <c r="D258" s="12"/>
      <c r="E258" s="12"/>
      <c r="F258" s="13"/>
      <c r="G258" s="14"/>
      <c r="H258" s="13"/>
      <c r="I258" s="14"/>
      <c r="J258" s="13"/>
      <c r="K258" s="13"/>
    </row>
    <row r="259" spans="1:11" ht="15" customHeight="1" x14ac:dyDescent="0.25">
      <c r="A259" s="13"/>
      <c r="B259" s="13"/>
      <c r="C259" s="13"/>
      <c r="D259" s="12"/>
      <c r="E259" s="12"/>
      <c r="F259" s="13"/>
      <c r="G259" s="14"/>
      <c r="H259" s="13"/>
      <c r="I259" s="14"/>
      <c r="J259" s="13"/>
      <c r="K259" s="13"/>
    </row>
    <row r="260" spans="1:11" ht="15" customHeight="1" x14ac:dyDescent="0.25">
      <c r="A260" s="13"/>
      <c r="B260" s="13"/>
      <c r="C260" s="13"/>
      <c r="D260" s="12"/>
      <c r="E260" s="12"/>
      <c r="F260" s="13"/>
      <c r="G260" s="14"/>
      <c r="H260" s="13"/>
      <c r="I260" s="14"/>
      <c r="J260" s="13"/>
      <c r="K260" s="13"/>
    </row>
    <row r="261" spans="1:11" ht="15" customHeight="1" x14ac:dyDescent="0.25">
      <c r="A261" s="13"/>
      <c r="B261" s="13"/>
      <c r="C261" s="13"/>
      <c r="D261" s="12"/>
      <c r="E261" s="12"/>
      <c r="F261" s="13"/>
      <c r="G261" s="14"/>
      <c r="H261" s="13"/>
      <c r="I261" s="14"/>
      <c r="J261" s="13"/>
      <c r="K261" s="13"/>
    </row>
    <row r="262" spans="1:11" ht="15" customHeight="1" x14ac:dyDescent="0.25">
      <c r="A262" s="13"/>
      <c r="B262" s="13"/>
      <c r="C262" s="13"/>
      <c r="D262" s="12"/>
      <c r="E262" s="12"/>
      <c r="F262" s="13"/>
      <c r="G262" s="14"/>
      <c r="H262" s="13"/>
      <c r="I262" s="14"/>
      <c r="J262" s="13"/>
      <c r="K262" s="13"/>
    </row>
    <row r="263" spans="1:11" ht="15" customHeight="1" x14ac:dyDescent="0.25">
      <c r="A263" s="13"/>
      <c r="B263" s="13"/>
      <c r="C263" s="13"/>
      <c r="D263" s="12"/>
      <c r="E263" s="12"/>
      <c r="F263" s="13"/>
      <c r="G263" s="14"/>
      <c r="H263" s="13"/>
      <c r="I263" s="14"/>
      <c r="J263" s="13"/>
      <c r="K263" s="13"/>
    </row>
    <row r="264" spans="1:11" ht="15" customHeight="1" x14ac:dyDescent="0.25">
      <c r="A264" s="13"/>
      <c r="B264" s="13"/>
      <c r="C264" s="13"/>
      <c r="D264" s="12"/>
      <c r="E264" s="12"/>
      <c r="F264" s="13"/>
      <c r="G264" s="14"/>
      <c r="H264" s="13"/>
      <c r="I264" s="14"/>
      <c r="J264" s="13"/>
      <c r="K264" s="13"/>
    </row>
    <row r="265" spans="1:11" ht="15" customHeight="1" x14ac:dyDescent="0.25">
      <c r="A265" s="13"/>
      <c r="B265" s="13"/>
      <c r="C265" s="13"/>
      <c r="D265" s="12"/>
      <c r="E265" s="12"/>
      <c r="F265" s="13"/>
      <c r="G265" s="14"/>
      <c r="H265" s="13"/>
      <c r="I265" s="14"/>
      <c r="J265" s="13"/>
      <c r="K265" s="13"/>
    </row>
    <row r="266" spans="1:11" ht="15" customHeight="1" x14ac:dyDescent="0.25">
      <c r="A266" s="13"/>
      <c r="B266" s="13"/>
      <c r="C266" s="13"/>
      <c r="D266" s="12"/>
      <c r="E266" s="12"/>
      <c r="F266" s="13"/>
      <c r="G266" s="14"/>
      <c r="H266" s="13"/>
      <c r="I266" s="14"/>
      <c r="J266" s="13"/>
      <c r="K266" s="13"/>
    </row>
    <row r="267" spans="1:11" ht="15" customHeight="1" x14ac:dyDescent="0.25">
      <c r="A267" s="13"/>
      <c r="B267" s="13"/>
      <c r="C267" s="13"/>
      <c r="D267" s="12"/>
      <c r="E267" s="12"/>
      <c r="F267" s="13"/>
      <c r="G267" s="14"/>
      <c r="H267" s="13"/>
      <c r="I267" s="14"/>
      <c r="J267" s="13"/>
      <c r="K267" s="13"/>
    </row>
    <row r="268" spans="1:11" ht="15" customHeight="1" x14ac:dyDescent="0.25">
      <c r="A268" s="13"/>
      <c r="B268" s="13"/>
      <c r="C268" s="13"/>
      <c r="D268" s="12"/>
      <c r="E268" s="12"/>
      <c r="F268" s="13"/>
      <c r="G268" s="14"/>
      <c r="H268" s="13"/>
      <c r="I268" s="14"/>
      <c r="J268" s="13"/>
      <c r="K268" s="13"/>
    </row>
    <row r="269" spans="1:11" ht="15" customHeight="1" x14ac:dyDescent="0.25">
      <c r="A269" s="13"/>
      <c r="B269" s="13"/>
      <c r="C269" s="13"/>
      <c r="D269" s="12"/>
      <c r="E269" s="12"/>
      <c r="F269" s="13"/>
      <c r="G269" s="14"/>
      <c r="H269" s="13"/>
      <c r="I269" s="14"/>
      <c r="J269" s="13"/>
      <c r="K269" s="13"/>
    </row>
    <row r="270" spans="1:11" ht="15" customHeight="1" x14ac:dyDescent="0.25">
      <c r="A270" s="13"/>
      <c r="B270" s="13"/>
      <c r="C270" s="13"/>
      <c r="D270" s="12"/>
      <c r="E270" s="12"/>
      <c r="F270" s="13"/>
      <c r="G270" s="14"/>
      <c r="H270" s="13"/>
      <c r="I270" s="14"/>
      <c r="J270" s="13"/>
      <c r="K270" s="13"/>
    </row>
    <row r="271" spans="1:11" ht="15" customHeight="1" x14ac:dyDescent="0.25">
      <c r="A271" s="13"/>
      <c r="B271" s="13"/>
      <c r="C271" s="13"/>
      <c r="D271" s="12"/>
      <c r="E271" s="12"/>
      <c r="F271" s="13"/>
      <c r="G271" s="14"/>
      <c r="H271" s="13"/>
      <c r="I271" s="14"/>
      <c r="J271" s="13"/>
      <c r="K271" s="13"/>
    </row>
    <row r="272" spans="1:11" ht="15" customHeight="1" x14ac:dyDescent="0.25">
      <c r="A272" s="13"/>
      <c r="B272" s="13"/>
      <c r="C272" s="13"/>
      <c r="D272" s="12"/>
      <c r="E272" s="12"/>
      <c r="F272" s="13"/>
      <c r="G272" s="14"/>
      <c r="H272" s="13"/>
      <c r="I272" s="14"/>
      <c r="J272" s="13"/>
      <c r="K272" s="13"/>
    </row>
    <row r="273" spans="1:11" ht="15" customHeight="1" x14ac:dyDescent="0.25">
      <c r="A273" s="13"/>
      <c r="B273" s="13"/>
      <c r="C273" s="13"/>
      <c r="D273" s="12"/>
      <c r="E273" s="12"/>
      <c r="F273" s="13"/>
      <c r="G273" s="14"/>
      <c r="H273" s="13"/>
      <c r="I273" s="14"/>
      <c r="J273" s="13"/>
      <c r="K273" s="13"/>
    </row>
    <row r="274" spans="1:11" ht="15" customHeight="1" x14ac:dyDescent="0.25">
      <c r="A274" s="13"/>
      <c r="B274" s="13"/>
      <c r="C274" s="13"/>
      <c r="D274" s="12"/>
      <c r="E274" s="12"/>
      <c r="F274" s="13"/>
      <c r="G274" s="14"/>
      <c r="H274" s="13"/>
      <c r="I274" s="14"/>
      <c r="J274" s="13"/>
      <c r="K274" s="13"/>
    </row>
    <row r="275" spans="1:11" ht="15" customHeight="1" x14ac:dyDescent="0.25">
      <c r="A275" s="13"/>
      <c r="B275" s="13"/>
      <c r="C275" s="13"/>
      <c r="D275" s="12"/>
      <c r="E275" s="12"/>
      <c r="F275" s="13"/>
      <c r="G275" s="14"/>
      <c r="H275" s="13"/>
      <c r="I275" s="14"/>
      <c r="J275" s="13"/>
      <c r="K275" s="13"/>
    </row>
    <row r="276" spans="1:11" ht="15" customHeight="1" x14ac:dyDescent="0.25">
      <c r="A276" s="13"/>
      <c r="B276" s="13"/>
      <c r="C276" s="13"/>
      <c r="D276" s="12"/>
      <c r="E276" s="12"/>
      <c r="F276" s="13"/>
      <c r="G276" s="14"/>
      <c r="H276" s="13"/>
      <c r="I276" s="14"/>
      <c r="J276" s="13"/>
      <c r="K276" s="13"/>
    </row>
    <row r="277" spans="1:11" ht="15" customHeight="1" x14ac:dyDescent="0.25">
      <c r="A277" s="13"/>
      <c r="B277" s="13"/>
      <c r="C277" s="13"/>
      <c r="D277" s="12"/>
      <c r="E277" s="12"/>
      <c r="F277" s="13"/>
      <c r="G277" s="14"/>
      <c r="H277" s="13"/>
      <c r="I277" s="14"/>
      <c r="J277" s="13"/>
      <c r="K277" s="13"/>
    </row>
    <row r="278" spans="1:11" ht="15" customHeight="1" x14ac:dyDescent="0.25">
      <c r="A278" s="13"/>
      <c r="B278" s="13"/>
      <c r="C278" s="13"/>
      <c r="D278" s="12"/>
      <c r="E278" s="12"/>
      <c r="F278" s="13"/>
      <c r="G278" s="14"/>
      <c r="H278" s="13"/>
      <c r="I278" s="14"/>
      <c r="J278" s="13"/>
      <c r="K278" s="13"/>
    </row>
    <row r="279" spans="1:11" ht="15" customHeight="1" x14ac:dyDescent="0.25">
      <c r="A279" s="13"/>
      <c r="B279" s="13"/>
      <c r="C279" s="13"/>
      <c r="D279" s="12"/>
      <c r="E279" s="12"/>
      <c r="F279" s="13"/>
      <c r="G279" s="14"/>
      <c r="H279" s="13"/>
      <c r="I279" s="14"/>
      <c r="J279" s="13"/>
      <c r="K279" s="13"/>
    </row>
    <row r="280" spans="1:11" ht="15" customHeight="1" x14ac:dyDescent="0.25">
      <c r="A280" s="13"/>
      <c r="B280" s="13"/>
      <c r="C280" s="13"/>
      <c r="D280" s="12"/>
      <c r="E280" s="12"/>
      <c r="F280" s="13"/>
      <c r="G280" s="14"/>
      <c r="H280" s="13"/>
      <c r="I280" s="14"/>
      <c r="J280" s="13"/>
      <c r="K280" s="13"/>
    </row>
    <row r="281" spans="1:11" ht="15" customHeight="1" x14ac:dyDescent="0.25">
      <c r="A281" s="13"/>
      <c r="B281" s="13"/>
      <c r="C281" s="13"/>
      <c r="D281" s="12"/>
      <c r="E281" s="12"/>
      <c r="F281" s="13"/>
      <c r="G281" s="14"/>
      <c r="H281" s="13"/>
      <c r="I281" s="14"/>
      <c r="J281" s="13"/>
      <c r="K281" s="13"/>
    </row>
    <row r="282" spans="1:11" ht="15" customHeight="1" x14ac:dyDescent="0.25">
      <c r="A282" s="13"/>
      <c r="B282" s="13"/>
      <c r="C282" s="13"/>
      <c r="D282" s="12"/>
      <c r="E282" s="12"/>
      <c r="F282" s="13"/>
      <c r="G282" s="14"/>
      <c r="H282" s="13"/>
      <c r="I282" s="14"/>
      <c r="J282" s="13"/>
      <c r="K282" s="13"/>
    </row>
    <row r="283" spans="1:11" ht="15" customHeight="1" x14ac:dyDescent="0.25">
      <c r="A283" s="13"/>
      <c r="B283" s="13"/>
      <c r="C283" s="13"/>
      <c r="D283" s="12"/>
      <c r="E283" s="12"/>
      <c r="F283" s="13"/>
      <c r="G283" s="14"/>
      <c r="H283" s="13"/>
      <c r="I283" s="14"/>
      <c r="J283" s="13"/>
      <c r="K283" s="13"/>
    </row>
    <row r="284" spans="1:11" ht="15" customHeight="1" x14ac:dyDescent="0.25">
      <c r="A284" s="13"/>
      <c r="B284" s="13"/>
      <c r="C284" s="13"/>
      <c r="D284" s="12"/>
      <c r="E284" s="12"/>
      <c r="F284" s="13"/>
      <c r="G284" s="14"/>
      <c r="H284" s="13"/>
      <c r="I284" s="14"/>
      <c r="J284" s="13"/>
      <c r="K284" s="13"/>
    </row>
    <row r="285" spans="1:11" ht="15" customHeight="1" x14ac:dyDescent="0.25">
      <c r="A285" s="13"/>
      <c r="B285" s="13"/>
      <c r="C285" s="13"/>
      <c r="D285" s="12"/>
      <c r="E285" s="12"/>
      <c r="F285" s="13"/>
      <c r="G285" s="14"/>
      <c r="H285" s="13"/>
      <c r="I285" s="14"/>
      <c r="J285" s="13"/>
      <c r="K285" s="13"/>
    </row>
    <row r="286" spans="1:11" ht="15" customHeight="1" x14ac:dyDescent="0.25">
      <c r="A286" s="13"/>
      <c r="B286" s="13"/>
      <c r="C286" s="13"/>
      <c r="D286" s="12"/>
      <c r="E286" s="12"/>
      <c r="F286" s="13"/>
      <c r="G286" s="14"/>
      <c r="H286" s="13"/>
      <c r="I286" s="14"/>
      <c r="J286" s="13"/>
      <c r="K286" s="13"/>
    </row>
    <row r="287" spans="1:11" ht="15" customHeight="1" x14ac:dyDescent="0.25">
      <c r="A287" s="13"/>
      <c r="B287" s="13"/>
      <c r="C287" s="13"/>
      <c r="D287" s="12"/>
      <c r="E287" s="12"/>
      <c r="F287" s="13"/>
      <c r="G287" s="14"/>
      <c r="H287" s="13"/>
      <c r="I287" s="14"/>
      <c r="J287" s="13"/>
      <c r="K287" s="13"/>
    </row>
    <row r="288" spans="1:11" ht="15" customHeight="1" x14ac:dyDescent="0.25">
      <c r="A288" s="13"/>
      <c r="B288" s="13"/>
      <c r="C288" s="13"/>
      <c r="D288" s="12"/>
      <c r="E288" s="12"/>
      <c r="F288" s="13"/>
      <c r="G288" s="14"/>
      <c r="H288" s="13"/>
      <c r="I288" s="14"/>
      <c r="J288" s="13"/>
      <c r="K288" s="13"/>
    </row>
    <row r="289" spans="1:11" ht="15" customHeight="1" x14ac:dyDescent="0.25">
      <c r="A289" s="13"/>
      <c r="B289" s="13"/>
      <c r="C289" s="13"/>
      <c r="D289" s="12"/>
      <c r="E289" s="12"/>
      <c r="F289" s="13"/>
      <c r="G289" s="14"/>
      <c r="H289" s="13"/>
      <c r="I289" s="14"/>
      <c r="J289" s="13"/>
      <c r="K289" s="13"/>
    </row>
    <row r="290" spans="1:11" ht="15" customHeight="1" x14ac:dyDescent="0.25">
      <c r="A290" s="13"/>
      <c r="B290" s="13"/>
      <c r="C290" s="13"/>
      <c r="D290" s="12"/>
      <c r="E290" s="12"/>
      <c r="F290" s="13"/>
      <c r="G290" s="14"/>
      <c r="H290" s="13"/>
      <c r="I290" s="14"/>
      <c r="J290" s="13"/>
      <c r="K290" s="13"/>
    </row>
    <row r="291" spans="1:11" ht="15" customHeight="1" x14ac:dyDescent="0.25">
      <c r="A291" s="13"/>
      <c r="B291" s="13"/>
      <c r="C291" s="13"/>
      <c r="D291" s="12"/>
      <c r="E291" s="12"/>
      <c r="F291" s="13"/>
      <c r="G291" s="14"/>
      <c r="H291" s="13"/>
      <c r="I291" s="14"/>
      <c r="J291" s="13"/>
      <c r="K291" s="13"/>
    </row>
    <row r="292" spans="1:11" ht="15" customHeight="1" x14ac:dyDescent="0.25">
      <c r="A292" s="13"/>
      <c r="B292" s="13"/>
      <c r="C292" s="13"/>
      <c r="D292" s="12"/>
      <c r="E292" s="12"/>
      <c r="F292" s="13"/>
      <c r="G292" s="14"/>
      <c r="H292" s="13"/>
      <c r="I292" s="14"/>
      <c r="J292" s="13"/>
      <c r="K292" s="13"/>
    </row>
    <row r="293" spans="1:11" ht="15" customHeight="1" x14ac:dyDescent="0.25">
      <c r="A293" s="13"/>
      <c r="B293" s="13"/>
      <c r="C293" s="13"/>
      <c r="D293" s="12"/>
      <c r="E293" s="12"/>
      <c r="F293" s="13"/>
      <c r="G293" s="14"/>
      <c r="H293" s="13"/>
      <c r="I293" s="14"/>
      <c r="J293" s="13"/>
      <c r="K293" s="13"/>
    </row>
    <row r="294" spans="1:11" ht="15" customHeight="1" x14ac:dyDescent="0.25">
      <c r="A294" s="13"/>
      <c r="B294" s="13"/>
      <c r="C294" s="13"/>
      <c r="D294" s="12"/>
      <c r="E294" s="12"/>
      <c r="F294" s="13"/>
      <c r="G294" s="14"/>
      <c r="H294" s="13"/>
      <c r="I294" s="14"/>
      <c r="J294" s="13"/>
      <c r="K294" s="13"/>
    </row>
    <row r="295" spans="1:11" ht="15" customHeight="1" x14ac:dyDescent="0.25">
      <c r="A295" s="13"/>
      <c r="B295" s="13"/>
      <c r="C295" s="13"/>
      <c r="D295" s="12"/>
      <c r="E295" s="12"/>
      <c r="F295" s="13"/>
      <c r="G295" s="14"/>
      <c r="H295" s="13"/>
      <c r="I295" s="14"/>
      <c r="J295" s="13"/>
      <c r="K295" s="13"/>
    </row>
    <row r="296" spans="1:11" ht="15" customHeight="1" x14ac:dyDescent="0.25">
      <c r="A296" s="13"/>
      <c r="B296" s="13"/>
      <c r="C296" s="13"/>
      <c r="D296" s="12"/>
      <c r="E296" s="12"/>
      <c r="F296" s="13"/>
      <c r="G296" s="14"/>
      <c r="H296" s="13"/>
      <c r="I296" s="14"/>
      <c r="J296" s="13"/>
      <c r="K296" s="13"/>
    </row>
    <row r="297" spans="1:11" ht="15" customHeight="1" x14ac:dyDescent="0.25">
      <c r="A297" s="13"/>
      <c r="B297" s="13"/>
      <c r="C297" s="13"/>
      <c r="D297" s="12"/>
      <c r="E297" s="12"/>
      <c r="F297" s="13"/>
      <c r="G297" s="14"/>
      <c r="H297" s="13"/>
      <c r="I297" s="14"/>
      <c r="J297" s="13"/>
      <c r="K297" s="13"/>
    </row>
    <row r="298" spans="1:11" ht="15" customHeight="1" x14ac:dyDescent="0.25">
      <c r="A298" s="13"/>
      <c r="B298" s="13"/>
      <c r="C298" s="13"/>
      <c r="D298" s="12"/>
      <c r="E298" s="12"/>
      <c r="F298" s="13"/>
      <c r="G298" s="14"/>
      <c r="H298" s="13"/>
      <c r="I298" s="14"/>
      <c r="J298" s="13"/>
      <c r="K298" s="13"/>
    </row>
    <row r="299" spans="1:11" ht="15" customHeight="1" x14ac:dyDescent="0.25">
      <c r="A299" s="13"/>
      <c r="B299" s="13"/>
      <c r="C299" s="13"/>
      <c r="D299" s="12"/>
      <c r="E299" s="12"/>
      <c r="F299" s="13"/>
      <c r="G299" s="14"/>
      <c r="H299" s="13"/>
      <c r="I299" s="14"/>
      <c r="J299" s="13"/>
      <c r="K299" s="13"/>
    </row>
    <row r="300" spans="1:11" ht="15" customHeight="1" x14ac:dyDescent="0.25">
      <c r="A300" s="13"/>
      <c r="B300" s="13"/>
      <c r="C300" s="13"/>
      <c r="D300" s="12"/>
      <c r="E300" s="12"/>
      <c r="F300" s="13"/>
      <c r="G300" s="14"/>
      <c r="H300" s="13"/>
      <c r="I300" s="14"/>
      <c r="J300" s="13"/>
      <c r="K300" s="13"/>
    </row>
    <row r="301" spans="1:11" ht="15" customHeight="1" x14ac:dyDescent="0.25">
      <c r="A301" s="13"/>
      <c r="B301" s="13"/>
      <c r="C301" s="13"/>
      <c r="D301" s="12"/>
      <c r="E301" s="12"/>
      <c r="F301" s="13"/>
      <c r="G301" s="14"/>
      <c r="H301" s="13"/>
      <c r="I301" s="14"/>
      <c r="J301" s="13"/>
      <c r="K301" s="13"/>
    </row>
    <row r="302" spans="1:11" ht="15" customHeight="1" x14ac:dyDescent="0.25">
      <c r="A302" s="13"/>
      <c r="B302" s="13"/>
      <c r="C302" s="13"/>
      <c r="D302" s="12"/>
      <c r="E302" s="12"/>
      <c r="F302" s="13"/>
      <c r="G302" s="14"/>
      <c r="H302" s="13"/>
      <c r="I302" s="14"/>
      <c r="J302" s="13"/>
      <c r="K302" s="13"/>
    </row>
    <row r="303" spans="1:11" ht="15" customHeight="1" x14ac:dyDescent="0.25">
      <c r="A303" s="13"/>
      <c r="B303" s="13"/>
      <c r="C303" s="13"/>
      <c r="D303" s="12"/>
      <c r="E303" s="12"/>
      <c r="F303" s="13"/>
      <c r="G303" s="14"/>
      <c r="H303" s="13"/>
      <c r="I303" s="14"/>
      <c r="J303" s="13"/>
      <c r="K303" s="13"/>
    </row>
    <row r="304" spans="1:11" ht="15" customHeight="1" x14ac:dyDescent="0.25">
      <c r="A304" s="13"/>
      <c r="B304" s="13"/>
      <c r="C304" s="13"/>
      <c r="D304" s="12"/>
      <c r="E304" s="12"/>
      <c r="F304" s="13"/>
      <c r="G304" s="14"/>
      <c r="H304" s="13"/>
      <c r="I304" s="14"/>
      <c r="J304" s="13"/>
      <c r="K304" s="13"/>
    </row>
    <row r="305" spans="1:11" ht="15" customHeight="1" x14ac:dyDescent="0.25">
      <c r="A305" s="13"/>
      <c r="B305" s="13"/>
      <c r="C305" s="13"/>
      <c r="D305" s="12"/>
      <c r="E305" s="12"/>
      <c r="F305" s="13"/>
      <c r="G305" s="14"/>
      <c r="H305" s="13"/>
      <c r="I305" s="14"/>
      <c r="J305" s="13"/>
      <c r="K305" s="13"/>
    </row>
    <row r="306" spans="1:11" ht="15" customHeight="1" x14ac:dyDescent="0.25">
      <c r="A306" s="13"/>
      <c r="B306" s="13"/>
      <c r="C306" s="13"/>
      <c r="D306" s="12"/>
      <c r="E306" s="12"/>
      <c r="F306" s="13"/>
      <c r="G306" s="14"/>
      <c r="H306" s="13"/>
      <c r="I306" s="14"/>
      <c r="J306" s="13"/>
      <c r="K306" s="13"/>
    </row>
    <row r="307" spans="1:11" ht="15" customHeight="1" x14ac:dyDescent="0.25">
      <c r="A307" s="13"/>
      <c r="B307" s="13"/>
      <c r="C307" s="13"/>
      <c r="D307" s="12"/>
      <c r="E307" s="12"/>
      <c r="F307" s="13"/>
      <c r="G307" s="14"/>
      <c r="H307" s="13"/>
      <c r="I307" s="14"/>
      <c r="J307" s="13"/>
      <c r="K307" s="13"/>
    </row>
    <row r="308" spans="1:11" ht="15" customHeight="1" x14ac:dyDescent="0.25">
      <c r="A308" s="13"/>
      <c r="B308" s="13"/>
      <c r="C308" s="13"/>
      <c r="D308" s="12"/>
      <c r="E308" s="12"/>
      <c r="F308" s="13"/>
      <c r="G308" s="14"/>
      <c r="H308" s="13"/>
      <c r="I308" s="14"/>
      <c r="J308" s="13"/>
      <c r="K308" s="13"/>
    </row>
    <row r="309" spans="1:11" ht="15" customHeight="1" x14ac:dyDescent="0.25">
      <c r="A309" s="13"/>
      <c r="B309" s="13"/>
      <c r="C309" s="13"/>
      <c r="D309" s="12"/>
      <c r="E309" s="12"/>
      <c r="F309" s="13"/>
      <c r="G309" s="14"/>
      <c r="H309" s="13"/>
      <c r="I309" s="14"/>
      <c r="J309" s="13"/>
      <c r="K309" s="13"/>
    </row>
    <row r="310" spans="1:11" ht="15" customHeight="1" x14ac:dyDescent="0.25">
      <c r="A310" s="13"/>
      <c r="B310" s="13"/>
      <c r="C310" s="13"/>
      <c r="D310" s="12"/>
      <c r="E310" s="12"/>
      <c r="F310" s="13"/>
      <c r="G310" s="14"/>
      <c r="H310" s="13"/>
      <c r="I310" s="14"/>
      <c r="J310" s="13"/>
      <c r="K310" s="13"/>
    </row>
    <row r="311" spans="1:11" ht="15" customHeight="1" x14ac:dyDescent="0.25">
      <c r="A311" s="13"/>
      <c r="B311" s="13"/>
      <c r="C311" s="13"/>
      <c r="D311" s="12"/>
      <c r="E311" s="12"/>
      <c r="F311" s="13"/>
      <c r="G311" s="14"/>
      <c r="H311" s="13"/>
      <c r="I311" s="14"/>
      <c r="J311" s="13"/>
      <c r="K311" s="13"/>
    </row>
    <row r="312" spans="1:11" ht="15" customHeight="1" x14ac:dyDescent="0.25">
      <c r="A312" s="13"/>
      <c r="B312" s="13"/>
      <c r="C312" s="13"/>
      <c r="D312" s="12"/>
      <c r="E312" s="12"/>
      <c r="F312" s="13"/>
      <c r="G312" s="14"/>
      <c r="H312" s="13"/>
      <c r="I312" s="14"/>
      <c r="J312" s="13"/>
      <c r="K312" s="13"/>
    </row>
    <row r="313" spans="1:11" ht="15" customHeight="1" x14ac:dyDescent="0.25">
      <c r="A313" s="13"/>
      <c r="B313" s="13"/>
      <c r="C313" s="13"/>
      <c r="D313" s="12"/>
      <c r="E313" s="12"/>
      <c r="F313" s="13"/>
      <c r="G313" s="14"/>
      <c r="H313" s="13"/>
      <c r="I313" s="14"/>
      <c r="J313" s="13"/>
      <c r="K313" s="13"/>
    </row>
    <row r="314" spans="1:11" ht="15" customHeight="1" x14ac:dyDescent="0.25">
      <c r="A314" s="13"/>
      <c r="B314" s="13"/>
      <c r="C314" s="13"/>
      <c r="D314" s="12"/>
      <c r="E314" s="12"/>
      <c r="F314" s="13"/>
      <c r="G314" s="14"/>
      <c r="H314" s="13"/>
      <c r="I314" s="14"/>
      <c r="J314" s="13"/>
      <c r="K314" s="13"/>
    </row>
    <row r="315" spans="1:11" ht="15" customHeight="1" x14ac:dyDescent="0.25">
      <c r="A315" s="13"/>
      <c r="B315" s="13"/>
      <c r="C315" s="13"/>
      <c r="D315" s="12"/>
      <c r="E315" s="12"/>
      <c r="F315" s="13"/>
      <c r="G315" s="14"/>
      <c r="H315" s="13"/>
      <c r="I315" s="14"/>
      <c r="J315" s="13"/>
      <c r="K315" s="13"/>
    </row>
    <row r="316" spans="1:11" ht="15" customHeight="1" x14ac:dyDescent="0.25">
      <c r="A316" s="13"/>
      <c r="B316" s="13"/>
      <c r="C316" s="13"/>
      <c r="D316" s="12"/>
      <c r="E316" s="12"/>
      <c r="F316" s="13"/>
      <c r="G316" s="14"/>
      <c r="H316" s="13"/>
      <c r="I316" s="14"/>
      <c r="J316" s="13"/>
      <c r="K316" s="13"/>
    </row>
    <row r="317" spans="1:11" ht="15" customHeight="1" x14ac:dyDescent="0.25">
      <c r="A317" s="13"/>
      <c r="B317" s="13"/>
      <c r="C317" s="13"/>
      <c r="D317" s="12"/>
      <c r="E317" s="12"/>
      <c r="F317" s="13"/>
      <c r="G317" s="14"/>
      <c r="H317" s="13"/>
      <c r="I317" s="14"/>
      <c r="J317" s="13"/>
      <c r="K317" s="13"/>
    </row>
    <row r="318" spans="1:11" ht="15" customHeight="1" x14ac:dyDescent="0.25">
      <c r="A318" s="13"/>
      <c r="B318" s="13"/>
      <c r="C318" s="13"/>
      <c r="D318" s="12"/>
      <c r="E318" s="12"/>
      <c r="F318" s="13"/>
      <c r="G318" s="14"/>
      <c r="H318" s="13"/>
      <c r="I318" s="14"/>
      <c r="J318" s="13"/>
      <c r="K318" s="13"/>
    </row>
    <row r="319" spans="1:11" ht="15" customHeight="1" x14ac:dyDescent="0.25">
      <c r="A319" s="13"/>
      <c r="B319" s="13"/>
      <c r="C319" s="13"/>
      <c r="D319" s="12"/>
      <c r="E319" s="12"/>
      <c r="F319" s="13"/>
      <c r="G319" s="14"/>
      <c r="H319" s="13"/>
      <c r="I319" s="14"/>
      <c r="J319" s="13"/>
      <c r="K319" s="13"/>
    </row>
    <row r="320" spans="1:11" ht="15" customHeight="1" x14ac:dyDescent="0.25">
      <c r="A320" s="13"/>
      <c r="B320" s="13"/>
      <c r="C320" s="13"/>
      <c r="D320" s="12"/>
      <c r="E320" s="12"/>
      <c r="F320" s="13"/>
      <c r="G320" s="14"/>
      <c r="H320" s="13"/>
      <c r="I320" s="14"/>
      <c r="J320" s="13"/>
      <c r="K320" s="13"/>
    </row>
    <row r="321" spans="1:11" ht="15" customHeight="1" x14ac:dyDescent="0.25">
      <c r="A321" s="13"/>
      <c r="B321" s="13"/>
      <c r="C321" s="13"/>
      <c r="D321" s="12"/>
      <c r="E321" s="12"/>
      <c r="F321" s="13"/>
      <c r="G321" s="14"/>
      <c r="H321" s="13"/>
      <c r="I321" s="14"/>
      <c r="J321" s="13"/>
      <c r="K321" s="13"/>
    </row>
    <row r="322" spans="1:11" ht="15" customHeight="1" x14ac:dyDescent="0.25">
      <c r="A322" s="13"/>
      <c r="B322" s="13"/>
      <c r="C322" s="13"/>
      <c r="D322" s="12"/>
      <c r="E322" s="12"/>
      <c r="F322" s="13"/>
      <c r="G322" s="14"/>
      <c r="H322" s="13"/>
      <c r="I322" s="14"/>
      <c r="J322" s="13"/>
      <c r="K322" s="13"/>
    </row>
    <row r="323" spans="1:11" ht="15" customHeight="1" x14ac:dyDescent="0.25">
      <c r="A323" s="13"/>
      <c r="B323" s="13"/>
      <c r="C323" s="13"/>
      <c r="D323" s="12"/>
      <c r="E323" s="12"/>
      <c r="F323" s="13"/>
      <c r="G323" s="14"/>
      <c r="H323" s="13"/>
      <c r="I323" s="14"/>
      <c r="J323" s="13"/>
      <c r="K323" s="13"/>
    </row>
    <row r="324" spans="1:11" ht="15" customHeight="1" x14ac:dyDescent="0.25">
      <c r="A324" s="13"/>
      <c r="B324" s="13"/>
      <c r="C324" s="13"/>
      <c r="D324" s="12"/>
      <c r="E324" s="12"/>
      <c r="F324" s="13"/>
      <c r="G324" s="14"/>
      <c r="H324" s="13"/>
      <c r="I324" s="14"/>
      <c r="J324" s="13"/>
      <c r="K324" s="13"/>
    </row>
    <row r="325" spans="1:11" ht="15" customHeight="1" x14ac:dyDescent="0.25">
      <c r="A325" s="13"/>
      <c r="B325" s="13"/>
      <c r="C325" s="13"/>
      <c r="D325" s="12"/>
      <c r="E325" s="12"/>
      <c r="F325" s="13"/>
      <c r="G325" s="14"/>
      <c r="H325" s="13"/>
      <c r="I325" s="14"/>
      <c r="J325" s="13"/>
      <c r="K325" s="13"/>
    </row>
    <row r="326" spans="1:11" ht="15" customHeight="1" x14ac:dyDescent="0.25">
      <c r="A326" s="13"/>
      <c r="B326" s="13"/>
      <c r="C326" s="13"/>
      <c r="D326" s="12"/>
      <c r="E326" s="12"/>
      <c r="F326" s="13"/>
      <c r="G326" s="14"/>
      <c r="H326" s="13"/>
      <c r="I326" s="14"/>
      <c r="J326" s="13"/>
      <c r="K326" s="13"/>
    </row>
    <row r="327" spans="1:11" ht="15" customHeight="1" x14ac:dyDescent="0.25">
      <c r="A327" s="13"/>
      <c r="B327" s="13"/>
      <c r="C327" s="13"/>
      <c r="D327" s="12"/>
      <c r="E327" s="12"/>
      <c r="F327" s="13"/>
      <c r="G327" s="14"/>
      <c r="H327" s="13"/>
      <c r="I327" s="14"/>
      <c r="J327" s="13"/>
      <c r="K327" s="13"/>
    </row>
    <row r="328" spans="1:11" ht="15" customHeight="1" x14ac:dyDescent="0.25">
      <c r="A328" s="13"/>
      <c r="B328" s="13"/>
      <c r="C328" s="13"/>
      <c r="D328" s="12"/>
      <c r="E328" s="12"/>
      <c r="F328" s="13"/>
      <c r="G328" s="14"/>
      <c r="H328" s="13"/>
      <c r="I328" s="14"/>
      <c r="J328" s="13"/>
      <c r="K328" s="13"/>
    </row>
    <row r="329" spans="1:11" ht="15" customHeight="1" x14ac:dyDescent="0.25">
      <c r="A329" s="13"/>
      <c r="B329" s="13"/>
      <c r="C329" s="13"/>
      <c r="D329" s="12"/>
      <c r="E329" s="12"/>
      <c r="F329" s="13"/>
      <c r="G329" s="14"/>
      <c r="H329" s="13"/>
      <c r="I329" s="14"/>
      <c r="J329" s="13"/>
      <c r="K329" s="13"/>
    </row>
    <row r="330" spans="1:11" ht="15" customHeight="1" x14ac:dyDescent="0.25">
      <c r="A330" s="13"/>
      <c r="B330" s="13"/>
      <c r="C330" s="13"/>
      <c r="D330" s="12"/>
      <c r="E330" s="12"/>
      <c r="F330" s="13"/>
      <c r="G330" s="14"/>
      <c r="H330" s="13"/>
      <c r="I330" s="14"/>
      <c r="J330" s="13"/>
      <c r="K330" s="13"/>
    </row>
    <row r="331" spans="1:11" ht="15" customHeight="1" x14ac:dyDescent="0.25">
      <c r="A331" s="13"/>
      <c r="B331" s="13"/>
      <c r="C331" s="13"/>
      <c r="D331" s="12"/>
      <c r="E331" s="12"/>
      <c r="F331" s="13"/>
      <c r="G331" s="14"/>
      <c r="H331" s="13"/>
      <c r="I331" s="14"/>
      <c r="J331" s="13"/>
      <c r="K331" s="13"/>
    </row>
    <row r="332" spans="1:11" ht="15" customHeight="1" x14ac:dyDescent="0.25">
      <c r="A332" s="13"/>
      <c r="B332" s="13"/>
      <c r="C332" s="13"/>
      <c r="D332" s="12"/>
      <c r="E332" s="12"/>
      <c r="F332" s="13"/>
      <c r="G332" s="14"/>
      <c r="H332" s="13"/>
      <c r="I332" s="14"/>
      <c r="J332" s="13"/>
      <c r="K332" s="13"/>
    </row>
    <row r="333" spans="1:11" ht="15" customHeight="1" x14ac:dyDescent="0.25">
      <c r="A333" s="13"/>
      <c r="B333" s="13"/>
      <c r="C333" s="13"/>
      <c r="D333" s="12"/>
      <c r="E333" s="12"/>
      <c r="F333" s="13"/>
      <c r="G333" s="14"/>
      <c r="H333" s="13"/>
      <c r="I333" s="14"/>
      <c r="J333" s="13"/>
      <c r="K333" s="13"/>
    </row>
    <row r="334" spans="1:11" ht="15" customHeight="1" x14ac:dyDescent="0.25">
      <c r="A334" s="13"/>
      <c r="B334" s="13"/>
      <c r="C334" s="13"/>
      <c r="D334" s="12"/>
      <c r="E334" s="12"/>
      <c r="F334" s="13"/>
      <c r="G334" s="14"/>
      <c r="H334" s="13"/>
      <c r="I334" s="14"/>
      <c r="J334" s="13"/>
      <c r="K334" s="13"/>
    </row>
    <row r="335" spans="1:11" ht="15" customHeight="1" x14ac:dyDescent="0.25">
      <c r="A335" s="13"/>
      <c r="B335" s="13"/>
      <c r="C335" s="13"/>
      <c r="D335" s="12"/>
      <c r="E335" s="12"/>
      <c r="F335" s="13"/>
      <c r="G335" s="14"/>
      <c r="H335" s="13"/>
      <c r="I335" s="14"/>
      <c r="J335" s="13"/>
      <c r="K335" s="13"/>
    </row>
    <row r="336" spans="1:11" ht="15" customHeight="1" x14ac:dyDescent="0.25">
      <c r="A336" s="13"/>
      <c r="B336" s="13"/>
      <c r="C336" s="13"/>
      <c r="D336" s="12"/>
      <c r="E336" s="12"/>
      <c r="F336" s="13"/>
      <c r="G336" s="14"/>
      <c r="H336" s="13"/>
      <c r="I336" s="14"/>
      <c r="J336" s="13"/>
      <c r="K336" s="13"/>
    </row>
    <row r="337" spans="1:11" ht="15" customHeight="1" x14ac:dyDescent="0.25">
      <c r="A337" s="13"/>
      <c r="B337" s="13"/>
      <c r="C337" s="13"/>
      <c r="D337" s="12"/>
      <c r="E337" s="12"/>
      <c r="F337" s="13"/>
      <c r="G337" s="14"/>
      <c r="H337" s="13"/>
      <c r="I337" s="14"/>
      <c r="J337" s="13"/>
      <c r="K337" s="13"/>
    </row>
    <row r="338" spans="1:11" ht="15" customHeight="1" x14ac:dyDescent="0.25">
      <c r="A338" s="13"/>
      <c r="B338" s="13"/>
      <c r="C338" s="13"/>
      <c r="D338" s="12"/>
      <c r="E338" s="12"/>
      <c r="F338" s="13"/>
      <c r="G338" s="14"/>
      <c r="H338" s="13"/>
      <c r="I338" s="14"/>
      <c r="J338" s="13"/>
      <c r="K338" s="13"/>
    </row>
    <row r="339" spans="1:11" ht="15" customHeight="1" x14ac:dyDescent="0.25">
      <c r="A339" s="13"/>
      <c r="B339" s="13"/>
      <c r="C339" s="13"/>
      <c r="D339" s="12"/>
      <c r="E339" s="12"/>
      <c r="F339" s="13"/>
      <c r="G339" s="14"/>
      <c r="H339" s="13"/>
      <c r="I339" s="14"/>
      <c r="J339" s="13"/>
      <c r="K339" s="13"/>
    </row>
    <row r="340" spans="1:11" ht="15" customHeight="1" x14ac:dyDescent="0.25">
      <c r="A340" s="13"/>
      <c r="B340" s="13"/>
      <c r="C340" s="13"/>
      <c r="D340" s="12"/>
      <c r="E340" s="12"/>
      <c r="F340" s="13"/>
      <c r="G340" s="14"/>
      <c r="H340" s="13"/>
      <c r="I340" s="14"/>
      <c r="J340" s="13"/>
      <c r="K340" s="13"/>
    </row>
    <row r="341" spans="1:11" ht="15" customHeight="1" x14ac:dyDescent="0.25">
      <c r="A341" s="13"/>
      <c r="B341" s="13"/>
      <c r="C341" s="13"/>
      <c r="D341" s="12"/>
      <c r="E341" s="12"/>
      <c r="F341" s="13"/>
      <c r="G341" s="14"/>
      <c r="H341" s="13"/>
      <c r="I341" s="14"/>
      <c r="J341" s="13"/>
      <c r="K341" s="13"/>
    </row>
    <row r="342" spans="1:11" ht="15" customHeight="1" x14ac:dyDescent="0.25">
      <c r="A342" s="13"/>
      <c r="B342" s="13"/>
      <c r="C342" s="13"/>
      <c r="D342" s="12"/>
      <c r="E342" s="12"/>
      <c r="F342" s="13"/>
      <c r="G342" s="14"/>
      <c r="H342" s="13"/>
      <c r="I342" s="14"/>
      <c r="J342" s="13"/>
      <c r="K342" s="13"/>
    </row>
    <row r="343" spans="1:11" ht="15" customHeight="1" x14ac:dyDescent="0.25">
      <c r="A343" s="13"/>
      <c r="B343" s="13"/>
      <c r="C343" s="13"/>
      <c r="D343" s="12"/>
      <c r="E343" s="12"/>
      <c r="F343" s="13"/>
      <c r="G343" s="14"/>
      <c r="H343" s="13"/>
      <c r="I343" s="14"/>
      <c r="J343" s="13"/>
      <c r="K343" s="13"/>
    </row>
    <row r="344" spans="1:11" ht="15" customHeight="1" x14ac:dyDescent="0.25">
      <c r="A344" s="13"/>
      <c r="B344" s="13"/>
      <c r="C344" s="13"/>
      <c r="D344" s="12"/>
      <c r="E344" s="12"/>
      <c r="F344" s="13"/>
      <c r="G344" s="14"/>
      <c r="H344" s="13"/>
      <c r="I344" s="14"/>
      <c r="J344" s="13"/>
      <c r="K344" s="13"/>
    </row>
    <row r="345" spans="1:11" ht="15" customHeight="1" x14ac:dyDescent="0.25">
      <c r="A345" s="13"/>
      <c r="B345" s="13"/>
      <c r="C345" s="13"/>
      <c r="D345" s="12"/>
      <c r="E345" s="12"/>
      <c r="F345" s="13"/>
      <c r="G345" s="14"/>
      <c r="H345" s="13"/>
      <c r="I345" s="14"/>
      <c r="J345" s="13"/>
      <c r="K345" s="13"/>
    </row>
    <row r="346" spans="1:11" ht="15" customHeight="1" x14ac:dyDescent="0.25">
      <c r="A346" s="13"/>
      <c r="B346" s="13"/>
      <c r="C346" s="13"/>
      <c r="D346" s="12"/>
      <c r="E346" s="12"/>
      <c r="F346" s="13"/>
      <c r="G346" s="14"/>
      <c r="H346" s="13"/>
      <c r="I346" s="14"/>
      <c r="J346" s="13"/>
      <c r="K346" s="13"/>
    </row>
    <row r="347" spans="1:11" ht="15" customHeight="1" x14ac:dyDescent="0.25">
      <c r="A347" s="13"/>
      <c r="B347" s="13"/>
      <c r="C347" s="13"/>
      <c r="D347" s="12"/>
      <c r="E347" s="12"/>
      <c r="F347" s="13"/>
      <c r="G347" s="14"/>
      <c r="H347" s="13"/>
      <c r="I347" s="14"/>
      <c r="J347" s="13"/>
      <c r="K347" s="13"/>
    </row>
    <row r="348" spans="1:11" ht="15" customHeight="1" x14ac:dyDescent="0.25">
      <c r="A348" s="13"/>
      <c r="B348" s="13"/>
      <c r="C348" s="13"/>
      <c r="D348" s="12"/>
      <c r="E348" s="12"/>
      <c r="F348" s="13"/>
      <c r="G348" s="14"/>
      <c r="H348" s="13"/>
      <c r="I348" s="14"/>
      <c r="J348" s="13"/>
      <c r="K348" s="13"/>
    </row>
    <row r="349" spans="1:11" ht="15" customHeight="1" x14ac:dyDescent="0.25">
      <c r="A349" s="13"/>
      <c r="B349" s="13"/>
      <c r="C349" s="13"/>
      <c r="D349" s="12"/>
      <c r="E349" s="12"/>
      <c r="F349" s="13"/>
      <c r="G349" s="14"/>
      <c r="H349" s="13"/>
      <c r="I349" s="14"/>
      <c r="J349" s="13"/>
      <c r="K349" s="13"/>
    </row>
    <row r="350" spans="1:11" ht="15" customHeight="1" x14ac:dyDescent="0.25">
      <c r="A350" s="13"/>
      <c r="B350" s="13"/>
      <c r="C350" s="13"/>
      <c r="D350" s="12"/>
      <c r="E350" s="12"/>
      <c r="F350" s="13"/>
      <c r="G350" s="14"/>
      <c r="H350" s="13"/>
      <c r="I350" s="14"/>
      <c r="J350" s="13"/>
      <c r="K350" s="13"/>
    </row>
    <row r="351" spans="1:11" ht="15" customHeight="1" x14ac:dyDescent="0.25">
      <c r="A351" s="13"/>
      <c r="B351" s="13"/>
      <c r="C351" s="13"/>
      <c r="D351" s="12"/>
      <c r="E351" s="12"/>
      <c r="F351" s="13"/>
      <c r="G351" s="14"/>
      <c r="H351" s="13"/>
      <c r="I351" s="14"/>
      <c r="J351" s="13"/>
      <c r="K351" s="13"/>
    </row>
    <row r="352" spans="1:11" ht="15" customHeight="1" x14ac:dyDescent="0.25">
      <c r="A352" s="13"/>
      <c r="B352" s="13"/>
      <c r="C352" s="13"/>
      <c r="D352" s="12"/>
      <c r="E352" s="12"/>
      <c r="F352" s="13"/>
      <c r="G352" s="14"/>
      <c r="H352" s="13"/>
      <c r="I352" s="14"/>
      <c r="J352" s="13"/>
      <c r="K352" s="13"/>
    </row>
    <row r="353" spans="1:11" ht="15" customHeight="1" x14ac:dyDescent="0.25">
      <c r="A353" s="13"/>
      <c r="B353" s="13"/>
      <c r="C353" s="13"/>
      <c r="D353" s="12"/>
      <c r="E353" s="12"/>
      <c r="F353" s="13"/>
      <c r="G353" s="14"/>
      <c r="H353" s="13"/>
      <c r="I353" s="14"/>
      <c r="J353" s="13"/>
      <c r="K353" s="13"/>
    </row>
    <row r="354" spans="1:11" ht="15" customHeight="1" x14ac:dyDescent="0.25">
      <c r="A354" s="13"/>
      <c r="B354" s="13"/>
      <c r="C354" s="13"/>
      <c r="D354" s="12"/>
      <c r="E354" s="12"/>
      <c r="F354" s="13"/>
      <c r="G354" s="14"/>
      <c r="H354" s="13"/>
      <c r="I354" s="14"/>
      <c r="J354" s="13"/>
      <c r="K354" s="13"/>
    </row>
    <row r="355" spans="1:11" ht="15" customHeight="1" x14ac:dyDescent="0.25">
      <c r="A355" s="13"/>
      <c r="B355" s="13"/>
      <c r="C355" s="13"/>
      <c r="D355" s="12"/>
      <c r="E355" s="12"/>
      <c r="F355" s="13"/>
      <c r="G355" s="14"/>
      <c r="H355" s="13"/>
      <c r="I355" s="14"/>
      <c r="J355" s="13"/>
      <c r="K355" s="13"/>
    </row>
    <row r="356" spans="1:11" ht="15" customHeight="1" x14ac:dyDescent="0.25">
      <c r="A356" s="13"/>
      <c r="B356" s="13"/>
      <c r="C356" s="13"/>
      <c r="D356" s="12"/>
      <c r="E356" s="12"/>
      <c r="F356" s="13"/>
      <c r="G356" s="14"/>
      <c r="H356" s="13"/>
      <c r="I356" s="14"/>
      <c r="J356" s="13"/>
      <c r="K356" s="13"/>
    </row>
    <row r="357" spans="1:11" ht="15" customHeight="1" x14ac:dyDescent="0.25">
      <c r="A357" s="13"/>
      <c r="B357" s="13"/>
      <c r="C357" s="13"/>
      <c r="D357" s="12"/>
      <c r="E357" s="12"/>
      <c r="F357" s="13"/>
      <c r="G357" s="14"/>
      <c r="H357" s="13"/>
      <c r="I357" s="14"/>
      <c r="J357" s="13"/>
      <c r="K357" s="13"/>
    </row>
    <row r="358" spans="1:11" ht="15" customHeight="1" x14ac:dyDescent="0.25">
      <c r="A358" s="13"/>
      <c r="B358" s="13"/>
      <c r="C358" s="13"/>
      <c r="D358" s="12"/>
      <c r="E358" s="12"/>
      <c r="F358" s="13"/>
      <c r="G358" s="14"/>
      <c r="H358" s="13"/>
      <c r="I358" s="14"/>
      <c r="J358" s="13"/>
      <c r="K358" s="13"/>
    </row>
    <row r="359" spans="1:11" ht="15" customHeight="1" x14ac:dyDescent="0.25">
      <c r="A359" s="13"/>
      <c r="B359" s="13"/>
      <c r="C359" s="13"/>
      <c r="D359" s="12"/>
      <c r="E359" s="12"/>
      <c r="F359" s="13"/>
      <c r="G359" s="14"/>
      <c r="H359" s="13"/>
      <c r="I359" s="14"/>
      <c r="J359" s="13"/>
      <c r="K359" s="13"/>
    </row>
    <row r="360" spans="1:11" ht="15" customHeight="1" x14ac:dyDescent="0.25">
      <c r="A360" s="13"/>
      <c r="B360" s="13"/>
      <c r="C360" s="13"/>
      <c r="D360" s="12"/>
      <c r="E360" s="12"/>
      <c r="F360" s="13"/>
      <c r="G360" s="14"/>
      <c r="H360" s="13"/>
      <c r="I360" s="14"/>
      <c r="J360" s="13"/>
      <c r="K360" s="13"/>
    </row>
    <row r="361" spans="1:11" ht="15" customHeight="1" x14ac:dyDescent="0.25">
      <c r="A361" s="13"/>
      <c r="B361" s="13"/>
      <c r="C361" s="13"/>
      <c r="D361" s="12"/>
      <c r="E361" s="12"/>
      <c r="F361" s="13"/>
      <c r="G361" s="14"/>
      <c r="H361" s="13"/>
      <c r="I361" s="14"/>
      <c r="J361" s="13"/>
      <c r="K361" s="13"/>
    </row>
    <row r="362" spans="1:11" ht="15" customHeight="1" x14ac:dyDescent="0.25">
      <c r="A362" s="13"/>
      <c r="B362" s="13"/>
      <c r="C362" s="13"/>
      <c r="D362" s="12"/>
      <c r="E362" s="12"/>
      <c r="F362" s="13"/>
      <c r="G362" s="14"/>
      <c r="H362" s="13"/>
      <c r="I362" s="14"/>
      <c r="J362" s="13"/>
      <c r="K362" s="13"/>
    </row>
    <row r="363" spans="1:11" ht="15" customHeight="1" x14ac:dyDescent="0.25">
      <c r="A363" s="13"/>
      <c r="B363" s="13"/>
      <c r="C363" s="13"/>
      <c r="D363" s="12"/>
      <c r="E363" s="12"/>
      <c r="F363" s="13"/>
      <c r="G363" s="14"/>
      <c r="H363" s="13"/>
      <c r="I363" s="14"/>
      <c r="J363" s="13"/>
      <c r="K363" s="13"/>
    </row>
    <row r="364" spans="1:11" ht="15" customHeight="1" x14ac:dyDescent="0.25">
      <c r="A364" s="13"/>
      <c r="B364" s="13"/>
      <c r="C364" s="13"/>
      <c r="D364" s="12"/>
      <c r="E364" s="12"/>
      <c r="F364" s="13"/>
      <c r="G364" s="14"/>
      <c r="H364" s="13"/>
      <c r="I364" s="14"/>
      <c r="J364" s="13"/>
      <c r="K364" s="13"/>
    </row>
    <row r="365" spans="1:11" ht="15" customHeight="1" x14ac:dyDescent="0.25">
      <c r="A365" s="13"/>
      <c r="B365" s="13"/>
      <c r="C365" s="13"/>
      <c r="D365" s="12"/>
      <c r="E365" s="12"/>
      <c r="F365" s="13"/>
      <c r="G365" s="14"/>
      <c r="H365" s="13"/>
      <c r="I365" s="14"/>
      <c r="J365" s="13"/>
      <c r="K365" s="13"/>
    </row>
    <row r="366" spans="1:11" ht="15" customHeight="1" x14ac:dyDescent="0.25">
      <c r="A366" s="13"/>
      <c r="B366" s="13"/>
      <c r="C366" s="13"/>
      <c r="D366" s="12"/>
      <c r="E366" s="12"/>
      <c r="F366" s="13"/>
      <c r="G366" s="14"/>
      <c r="H366" s="13"/>
      <c r="I366" s="14"/>
      <c r="J366" s="13"/>
      <c r="K366" s="13"/>
    </row>
    <row r="367" spans="1:11" ht="15" customHeight="1" x14ac:dyDescent="0.25">
      <c r="A367" s="13"/>
      <c r="B367" s="13"/>
      <c r="C367" s="13"/>
      <c r="D367" s="12"/>
      <c r="E367" s="12"/>
      <c r="F367" s="13"/>
      <c r="G367" s="14"/>
      <c r="H367" s="13"/>
      <c r="I367" s="14"/>
      <c r="J367" s="13"/>
      <c r="K367" s="13"/>
    </row>
    <row r="368" spans="1:11" ht="15" customHeight="1" x14ac:dyDescent="0.25">
      <c r="A368" s="13"/>
      <c r="B368" s="13"/>
      <c r="C368" s="13"/>
      <c r="D368" s="12"/>
      <c r="E368" s="12"/>
      <c r="F368" s="13"/>
      <c r="G368" s="14"/>
      <c r="H368" s="13"/>
      <c r="I368" s="14"/>
      <c r="J368" s="13"/>
      <c r="K368" s="13"/>
    </row>
    <row r="369" spans="1:11" ht="15" customHeight="1" x14ac:dyDescent="0.25">
      <c r="A369" s="13"/>
      <c r="B369" s="13"/>
      <c r="C369" s="13"/>
      <c r="D369" s="12"/>
      <c r="E369" s="12"/>
      <c r="F369" s="13"/>
      <c r="G369" s="14"/>
      <c r="H369" s="13"/>
      <c r="I369" s="14"/>
      <c r="J369" s="13"/>
      <c r="K369" s="13"/>
    </row>
    <row r="370" spans="1:11" ht="15" customHeight="1" x14ac:dyDescent="0.25">
      <c r="A370" s="13"/>
      <c r="B370" s="13"/>
      <c r="C370" s="13"/>
      <c r="D370" s="12"/>
      <c r="E370" s="12"/>
      <c r="F370" s="13"/>
      <c r="G370" s="14"/>
      <c r="H370" s="13"/>
      <c r="I370" s="14"/>
      <c r="J370" s="13"/>
      <c r="K370" s="13"/>
    </row>
    <row r="371" spans="1:11" ht="15" customHeight="1" x14ac:dyDescent="0.25">
      <c r="A371" s="13"/>
      <c r="B371" s="13"/>
      <c r="C371" s="13"/>
      <c r="D371" s="12"/>
      <c r="E371" s="12"/>
      <c r="F371" s="13"/>
      <c r="G371" s="14"/>
      <c r="H371" s="13"/>
      <c r="I371" s="14"/>
      <c r="J371" s="13"/>
      <c r="K371" s="13"/>
    </row>
    <row r="372" spans="1:11" ht="15" customHeight="1" x14ac:dyDescent="0.25">
      <c r="A372" s="13"/>
      <c r="B372" s="13"/>
      <c r="C372" s="13"/>
      <c r="D372" s="12"/>
      <c r="E372" s="12"/>
      <c r="F372" s="13"/>
      <c r="G372" s="14"/>
      <c r="H372" s="13"/>
      <c r="I372" s="14"/>
      <c r="J372" s="13"/>
      <c r="K372" s="13"/>
    </row>
    <row r="373" spans="1:11" ht="15" customHeight="1" x14ac:dyDescent="0.25">
      <c r="A373" s="13"/>
      <c r="B373" s="13"/>
      <c r="C373" s="13"/>
      <c r="D373" s="12"/>
      <c r="E373" s="12"/>
      <c r="F373" s="13"/>
      <c r="G373" s="14"/>
      <c r="H373" s="13"/>
      <c r="I373" s="14"/>
      <c r="J373" s="13"/>
      <c r="K373" s="13"/>
    </row>
    <row r="374" spans="1:11" ht="15" customHeight="1" x14ac:dyDescent="0.25">
      <c r="A374" s="13"/>
      <c r="B374" s="13"/>
      <c r="C374" s="13"/>
      <c r="D374" s="12"/>
      <c r="E374" s="12"/>
      <c r="F374" s="13"/>
      <c r="G374" s="14"/>
      <c r="H374" s="13"/>
      <c r="I374" s="14"/>
      <c r="J374" s="13"/>
      <c r="K374" s="13"/>
    </row>
    <row r="375" spans="1:11" ht="15" customHeight="1" x14ac:dyDescent="0.25">
      <c r="A375" s="13"/>
      <c r="B375" s="13"/>
      <c r="C375" s="13"/>
      <c r="D375" s="12"/>
      <c r="E375" s="12"/>
      <c r="F375" s="13"/>
      <c r="G375" s="14"/>
      <c r="H375" s="13"/>
      <c r="I375" s="14"/>
      <c r="J375" s="13"/>
      <c r="K375" s="13"/>
    </row>
    <row r="376" spans="1:11" ht="15" customHeight="1" x14ac:dyDescent="0.25">
      <c r="A376" s="13"/>
      <c r="B376" s="13"/>
      <c r="C376" s="13"/>
      <c r="D376" s="12"/>
      <c r="E376" s="12"/>
      <c r="F376" s="13"/>
      <c r="G376" s="14"/>
      <c r="H376" s="13"/>
      <c r="I376" s="14"/>
      <c r="J376" s="13"/>
      <c r="K376" s="13"/>
    </row>
    <row r="377" spans="1:11" ht="15" customHeight="1" x14ac:dyDescent="0.25">
      <c r="A377" s="13"/>
      <c r="B377" s="13"/>
      <c r="C377" s="13"/>
      <c r="D377" s="12"/>
      <c r="E377" s="12"/>
      <c r="F377" s="13"/>
      <c r="G377" s="14"/>
      <c r="H377" s="13"/>
      <c r="I377" s="14"/>
      <c r="J377" s="13"/>
      <c r="K377" s="13"/>
    </row>
    <row r="378" spans="1:11" ht="15" customHeight="1" x14ac:dyDescent="0.25">
      <c r="A378" s="13"/>
      <c r="B378" s="13"/>
      <c r="C378" s="13"/>
      <c r="D378" s="12"/>
      <c r="E378" s="12"/>
      <c r="F378" s="13"/>
      <c r="G378" s="14"/>
      <c r="H378" s="13"/>
      <c r="I378" s="14"/>
      <c r="J378" s="13"/>
      <c r="K378" s="13"/>
    </row>
    <row r="379" spans="1:11" ht="15" customHeight="1" x14ac:dyDescent="0.25">
      <c r="A379" s="13"/>
      <c r="B379" s="13"/>
      <c r="C379" s="13"/>
      <c r="D379" s="12"/>
      <c r="E379" s="12"/>
      <c r="F379" s="13"/>
      <c r="G379" s="14"/>
      <c r="H379" s="13"/>
      <c r="I379" s="14"/>
      <c r="J379" s="13"/>
      <c r="K379" s="13"/>
    </row>
    <row r="380" spans="1:11" ht="15" customHeight="1" x14ac:dyDescent="0.25">
      <c r="A380" s="13"/>
      <c r="B380" s="13"/>
      <c r="C380" s="13"/>
      <c r="D380" s="12"/>
      <c r="E380" s="12"/>
      <c r="F380" s="13"/>
      <c r="G380" s="14"/>
      <c r="H380" s="13"/>
      <c r="I380" s="14"/>
      <c r="J380" s="13"/>
      <c r="K380" s="13"/>
    </row>
    <row r="381" spans="1:11" ht="15" customHeight="1" x14ac:dyDescent="0.25">
      <c r="A381" s="13"/>
      <c r="B381" s="13"/>
      <c r="C381" s="13"/>
      <c r="D381" s="12"/>
      <c r="E381" s="12"/>
      <c r="F381" s="13"/>
      <c r="G381" s="14"/>
      <c r="H381" s="13"/>
      <c r="I381" s="14"/>
      <c r="J381" s="13"/>
      <c r="K381" s="13"/>
    </row>
    <row r="382" spans="1:11" ht="15" customHeight="1" x14ac:dyDescent="0.25">
      <c r="A382" s="13"/>
      <c r="B382" s="13"/>
      <c r="C382" s="13"/>
      <c r="D382" s="12"/>
      <c r="E382" s="12"/>
      <c r="F382" s="13"/>
      <c r="G382" s="14"/>
      <c r="H382" s="13"/>
      <c r="I382" s="14"/>
      <c r="J382" s="13"/>
      <c r="K382" s="13"/>
    </row>
    <row r="383" spans="1:11" ht="15" customHeight="1" x14ac:dyDescent="0.25">
      <c r="A383" s="13"/>
      <c r="B383" s="13"/>
      <c r="C383" s="13"/>
      <c r="D383" s="12"/>
      <c r="E383" s="12"/>
      <c r="F383" s="13"/>
      <c r="G383" s="14"/>
      <c r="H383" s="13"/>
      <c r="I383" s="14"/>
      <c r="J383" s="13"/>
      <c r="K383" s="13"/>
    </row>
    <row r="384" spans="1:11" ht="15" customHeight="1" x14ac:dyDescent="0.25">
      <c r="A384" s="13"/>
      <c r="B384" s="13"/>
      <c r="C384" s="13"/>
      <c r="D384" s="12"/>
      <c r="E384" s="12"/>
      <c r="F384" s="13"/>
      <c r="G384" s="14"/>
      <c r="H384" s="13"/>
      <c r="I384" s="14"/>
      <c r="J384" s="13"/>
      <c r="K384" s="13"/>
    </row>
    <row r="385" spans="1:11" ht="15" customHeight="1" x14ac:dyDescent="0.25">
      <c r="A385" s="13"/>
      <c r="B385" s="13"/>
      <c r="C385" s="13"/>
      <c r="D385" s="12"/>
      <c r="E385" s="12"/>
      <c r="F385" s="13"/>
      <c r="G385" s="14"/>
      <c r="H385" s="13"/>
      <c r="I385" s="14"/>
      <c r="J385" s="13"/>
      <c r="K385" s="13"/>
    </row>
    <row r="386" spans="1:11" ht="15" customHeight="1" x14ac:dyDescent="0.25">
      <c r="A386" s="13"/>
      <c r="B386" s="13"/>
      <c r="C386" s="13"/>
      <c r="D386" s="12"/>
      <c r="E386" s="12"/>
      <c r="F386" s="13"/>
      <c r="G386" s="14"/>
      <c r="H386" s="13"/>
      <c r="I386" s="14"/>
      <c r="J386" s="13"/>
      <c r="K386" s="13"/>
    </row>
    <row r="387" spans="1:11" ht="15" customHeight="1" x14ac:dyDescent="0.25">
      <c r="A387" s="13"/>
      <c r="B387" s="13"/>
      <c r="C387" s="13"/>
      <c r="D387" s="12"/>
      <c r="E387" s="12"/>
      <c r="F387" s="13"/>
      <c r="G387" s="14"/>
      <c r="H387" s="13"/>
      <c r="I387" s="14"/>
      <c r="J387" s="13"/>
      <c r="K387" s="13"/>
    </row>
    <row r="388" spans="1:11" ht="15" customHeight="1" x14ac:dyDescent="0.25">
      <c r="A388" s="13"/>
      <c r="B388" s="13"/>
      <c r="C388" s="13"/>
      <c r="D388" s="12"/>
      <c r="E388" s="12"/>
      <c r="F388" s="13"/>
      <c r="G388" s="14"/>
      <c r="H388" s="13"/>
      <c r="I388" s="14"/>
      <c r="J388" s="13"/>
      <c r="K388" s="13"/>
    </row>
    <row r="389" spans="1:11" ht="15" customHeight="1" x14ac:dyDescent="0.25">
      <c r="A389" s="13"/>
      <c r="B389" s="13"/>
      <c r="C389" s="13"/>
      <c r="D389" s="12"/>
      <c r="E389" s="12"/>
      <c r="F389" s="13"/>
      <c r="G389" s="14"/>
      <c r="H389" s="13"/>
      <c r="I389" s="14"/>
      <c r="J389" s="13"/>
      <c r="K389" s="13"/>
    </row>
    <row r="390" spans="1:11" ht="15" customHeight="1" x14ac:dyDescent="0.25">
      <c r="A390" s="13"/>
      <c r="B390" s="13"/>
      <c r="C390" s="13"/>
      <c r="D390" s="12"/>
      <c r="E390" s="12"/>
      <c r="F390" s="13"/>
      <c r="G390" s="14"/>
      <c r="H390" s="13"/>
      <c r="I390" s="14"/>
      <c r="J390" s="13"/>
      <c r="K390" s="13"/>
    </row>
    <row r="391" spans="1:11" ht="15" customHeight="1" x14ac:dyDescent="0.25">
      <c r="A391" s="13"/>
      <c r="B391" s="13"/>
      <c r="C391" s="13"/>
      <c r="D391" s="12"/>
      <c r="E391" s="12"/>
      <c r="F391" s="13"/>
      <c r="G391" s="14"/>
      <c r="H391" s="13"/>
      <c r="I391" s="14"/>
      <c r="J391" s="13"/>
      <c r="K391" s="13"/>
    </row>
    <row r="392" spans="1:11" ht="15" customHeight="1" x14ac:dyDescent="0.25">
      <c r="A392" s="13"/>
      <c r="B392" s="13"/>
      <c r="C392" s="13"/>
      <c r="D392" s="12"/>
      <c r="E392" s="12"/>
      <c r="F392" s="13"/>
      <c r="G392" s="14"/>
      <c r="H392" s="13"/>
      <c r="I392" s="14"/>
      <c r="J392" s="13"/>
      <c r="K392" s="13"/>
    </row>
    <row r="393" spans="1:11" ht="15" customHeight="1" x14ac:dyDescent="0.25">
      <c r="A393" s="13"/>
      <c r="B393" s="13"/>
      <c r="C393" s="13"/>
      <c r="D393" s="12"/>
      <c r="E393" s="12"/>
      <c r="F393" s="13"/>
      <c r="G393" s="14"/>
      <c r="H393" s="13"/>
      <c r="I393" s="14"/>
      <c r="J393" s="13"/>
      <c r="K393" s="13"/>
    </row>
    <row r="394" spans="1:11" ht="15" customHeight="1" x14ac:dyDescent="0.25">
      <c r="A394" s="13"/>
      <c r="B394" s="13"/>
      <c r="C394" s="13"/>
      <c r="D394" s="12"/>
      <c r="E394" s="12"/>
      <c r="F394" s="13"/>
      <c r="G394" s="14"/>
      <c r="H394" s="13"/>
      <c r="I394" s="14"/>
      <c r="J394" s="13"/>
      <c r="K394" s="13"/>
    </row>
    <row r="395" spans="1:11" ht="15" customHeight="1" x14ac:dyDescent="0.25">
      <c r="A395" s="13"/>
      <c r="B395" s="13"/>
      <c r="C395" s="13"/>
      <c r="D395" s="12"/>
      <c r="E395" s="12"/>
      <c r="F395" s="13"/>
      <c r="G395" s="14"/>
      <c r="H395" s="13"/>
      <c r="I395" s="14"/>
      <c r="J395" s="13"/>
      <c r="K395" s="13"/>
    </row>
    <row r="396" spans="1:11" ht="15" customHeight="1" x14ac:dyDescent="0.25">
      <c r="A396" s="13"/>
      <c r="B396" s="13"/>
      <c r="C396" s="13"/>
      <c r="D396" s="12"/>
      <c r="E396" s="12"/>
      <c r="F396" s="13"/>
      <c r="G396" s="14"/>
      <c r="H396" s="13"/>
      <c r="I396" s="14"/>
      <c r="J396" s="13"/>
      <c r="K396" s="13"/>
    </row>
    <row r="397" spans="1:11" ht="15" customHeight="1" x14ac:dyDescent="0.25">
      <c r="A397" s="13"/>
      <c r="B397" s="13"/>
      <c r="C397" s="13"/>
      <c r="D397" s="12"/>
      <c r="E397" s="12"/>
      <c r="F397" s="13"/>
      <c r="G397" s="14"/>
      <c r="H397" s="13"/>
      <c r="I397" s="14"/>
      <c r="J397" s="13"/>
      <c r="K397" s="13"/>
    </row>
    <row r="398" spans="1:11" ht="15" customHeight="1" x14ac:dyDescent="0.25">
      <c r="A398" s="13"/>
      <c r="B398" s="13"/>
      <c r="C398" s="13"/>
      <c r="D398" s="12"/>
      <c r="E398" s="12"/>
      <c r="F398" s="13"/>
      <c r="G398" s="14"/>
      <c r="H398" s="13"/>
      <c r="I398" s="14"/>
      <c r="J398" s="13"/>
      <c r="K398" s="13"/>
    </row>
    <row r="399" spans="1:11" ht="15" customHeight="1" x14ac:dyDescent="0.25">
      <c r="A399" s="13"/>
      <c r="B399" s="13"/>
      <c r="C399" s="13"/>
      <c r="D399" s="12"/>
      <c r="E399" s="12"/>
      <c r="F399" s="13"/>
      <c r="G399" s="14"/>
      <c r="H399" s="13"/>
      <c r="I399" s="14"/>
      <c r="J399" s="13"/>
      <c r="K399" s="13"/>
    </row>
    <row r="400" spans="1:11" ht="15" customHeight="1" x14ac:dyDescent="0.25">
      <c r="A400" s="13"/>
      <c r="B400" s="13"/>
      <c r="C400" s="13"/>
      <c r="D400" s="12"/>
      <c r="E400" s="12"/>
      <c r="F400" s="13"/>
      <c r="G400" s="14"/>
      <c r="H400" s="13"/>
      <c r="I400" s="14"/>
      <c r="J400" s="13"/>
      <c r="K400" s="13"/>
    </row>
    <row r="401" spans="1:11" ht="15" customHeight="1" x14ac:dyDescent="0.25">
      <c r="A401" s="13"/>
      <c r="B401" s="13"/>
      <c r="C401" s="13"/>
      <c r="D401" s="12"/>
      <c r="E401" s="12"/>
      <c r="F401" s="13"/>
      <c r="G401" s="14"/>
      <c r="H401" s="13"/>
      <c r="I401" s="14"/>
      <c r="J401" s="13"/>
      <c r="K401" s="13"/>
    </row>
    <row r="402" spans="1:11" ht="15" customHeight="1" x14ac:dyDescent="0.25">
      <c r="A402" s="13"/>
      <c r="B402" s="13"/>
      <c r="C402" s="13"/>
      <c r="D402" s="12"/>
      <c r="E402" s="12"/>
      <c r="F402" s="13"/>
      <c r="G402" s="14"/>
      <c r="H402" s="13"/>
      <c r="I402" s="14"/>
      <c r="J402" s="13"/>
      <c r="K402" s="13"/>
    </row>
    <row r="403" spans="1:11" ht="15" customHeight="1" x14ac:dyDescent="0.25">
      <c r="A403" s="13"/>
      <c r="B403" s="13"/>
      <c r="C403" s="13"/>
      <c r="D403" s="12"/>
      <c r="E403" s="12"/>
      <c r="F403" s="13"/>
      <c r="G403" s="14"/>
      <c r="H403" s="13"/>
      <c r="I403" s="14"/>
      <c r="J403" s="13"/>
      <c r="K403" s="13"/>
    </row>
    <row r="404" spans="1:11" ht="15" customHeight="1" x14ac:dyDescent="0.25">
      <c r="A404" s="13"/>
      <c r="B404" s="13"/>
      <c r="C404" s="13"/>
      <c r="D404" s="12"/>
      <c r="E404" s="12"/>
      <c r="F404" s="13"/>
      <c r="G404" s="14"/>
      <c r="H404" s="13"/>
      <c r="I404" s="14"/>
      <c r="J404" s="13"/>
      <c r="K404" s="13"/>
    </row>
    <row r="405" spans="1:11" ht="15" customHeight="1" x14ac:dyDescent="0.25">
      <c r="A405" s="13"/>
      <c r="B405" s="13"/>
      <c r="C405" s="13"/>
      <c r="D405" s="12"/>
      <c r="E405" s="12"/>
      <c r="F405" s="13"/>
      <c r="G405" s="14"/>
      <c r="H405" s="13"/>
      <c r="I405" s="14"/>
      <c r="J405" s="13"/>
      <c r="K405" s="13"/>
    </row>
    <row r="406" spans="1:11" ht="15" customHeight="1" x14ac:dyDescent="0.25">
      <c r="A406" s="13"/>
      <c r="B406" s="13"/>
      <c r="C406" s="13"/>
      <c r="D406" s="12"/>
      <c r="E406" s="12"/>
      <c r="F406" s="13"/>
      <c r="G406" s="14"/>
      <c r="H406" s="13"/>
      <c r="I406" s="14"/>
      <c r="J406" s="13"/>
      <c r="K406" s="13"/>
    </row>
    <row r="407" spans="1:11" ht="15" customHeight="1" x14ac:dyDescent="0.25">
      <c r="A407" s="13"/>
      <c r="B407" s="13"/>
      <c r="C407" s="13"/>
      <c r="D407" s="12"/>
      <c r="E407" s="12"/>
      <c r="F407" s="13"/>
      <c r="G407" s="14"/>
      <c r="H407" s="13"/>
      <c r="I407" s="14"/>
      <c r="J407" s="13"/>
      <c r="K407" s="13"/>
    </row>
    <row r="408" spans="1:11" ht="15" customHeight="1" x14ac:dyDescent="0.25">
      <c r="A408" s="13"/>
      <c r="B408" s="13"/>
      <c r="C408" s="13"/>
      <c r="D408" s="12"/>
      <c r="E408" s="12"/>
      <c r="F408" s="13"/>
      <c r="G408" s="14"/>
      <c r="H408" s="13"/>
      <c r="I408" s="14"/>
      <c r="J408" s="13"/>
      <c r="K408" s="13"/>
    </row>
    <row r="409" spans="1:11" ht="15" customHeight="1" x14ac:dyDescent="0.25">
      <c r="A409" s="13"/>
      <c r="B409" s="13"/>
      <c r="C409" s="13"/>
      <c r="D409" s="12"/>
      <c r="E409" s="12"/>
      <c r="F409" s="13"/>
      <c r="G409" s="14"/>
      <c r="H409" s="13"/>
      <c r="I409" s="14"/>
      <c r="J409" s="13"/>
      <c r="K409" s="13"/>
    </row>
    <row r="410" spans="1:11" ht="15" customHeight="1" x14ac:dyDescent="0.25">
      <c r="A410" s="13"/>
      <c r="B410" s="13"/>
      <c r="C410" s="13"/>
      <c r="D410" s="12"/>
      <c r="E410" s="12"/>
      <c r="F410" s="13"/>
      <c r="G410" s="14"/>
      <c r="H410" s="13"/>
      <c r="I410" s="14"/>
      <c r="J410" s="13"/>
      <c r="K410" s="13"/>
    </row>
    <row r="411" spans="1:11" ht="15" customHeight="1" x14ac:dyDescent="0.25">
      <c r="A411" s="13"/>
      <c r="B411" s="13"/>
      <c r="C411" s="13"/>
      <c r="D411" s="12"/>
      <c r="E411" s="12"/>
      <c r="F411" s="13"/>
      <c r="G411" s="14"/>
      <c r="H411" s="13"/>
      <c r="I411" s="14"/>
      <c r="J411" s="13"/>
      <c r="K411" s="13"/>
    </row>
    <row r="412" spans="1:11" ht="15" customHeight="1" x14ac:dyDescent="0.25">
      <c r="A412" s="13"/>
      <c r="B412" s="13"/>
      <c r="C412" s="13"/>
      <c r="D412" s="12"/>
      <c r="E412" s="12"/>
      <c r="F412" s="13"/>
      <c r="G412" s="14"/>
      <c r="H412" s="13"/>
      <c r="I412" s="14"/>
      <c r="J412" s="13"/>
      <c r="K412" s="13"/>
    </row>
    <row r="413" spans="1:11" ht="15" customHeight="1" x14ac:dyDescent="0.25">
      <c r="A413" s="13"/>
      <c r="B413" s="13"/>
      <c r="C413" s="13"/>
      <c r="D413" s="12"/>
      <c r="E413" s="12"/>
      <c r="F413" s="13"/>
      <c r="G413" s="14"/>
      <c r="H413" s="13"/>
      <c r="I413" s="14"/>
      <c r="J413" s="13"/>
      <c r="K413" s="13"/>
    </row>
    <row r="414" spans="1:11" ht="15" customHeight="1" x14ac:dyDescent="0.25">
      <c r="A414" s="13"/>
      <c r="B414" s="13"/>
      <c r="C414" s="13"/>
      <c r="D414" s="12"/>
      <c r="E414" s="12"/>
      <c r="F414" s="13"/>
      <c r="G414" s="14"/>
      <c r="H414" s="13"/>
      <c r="I414" s="14"/>
      <c r="J414" s="13"/>
      <c r="K414" s="13"/>
    </row>
    <row r="415" spans="1:11" ht="15" customHeight="1" x14ac:dyDescent="0.25">
      <c r="A415" s="13"/>
      <c r="B415" s="13"/>
      <c r="C415" s="13"/>
      <c r="D415" s="12"/>
      <c r="E415" s="12"/>
      <c r="F415" s="13"/>
      <c r="G415" s="14"/>
      <c r="H415" s="13"/>
      <c r="I415" s="14"/>
      <c r="J415" s="13"/>
      <c r="K415" s="13"/>
    </row>
    <row r="416" spans="1:11" ht="15" customHeight="1" x14ac:dyDescent="0.25">
      <c r="A416" s="13"/>
      <c r="B416" s="13"/>
      <c r="C416" s="13"/>
      <c r="D416" s="12"/>
      <c r="E416" s="12"/>
      <c r="F416" s="13"/>
      <c r="G416" s="14"/>
      <c r="H416" s="13"/>
      <c r="I416" s="14"/>
      <c r="J416" s="13"/>
      <c r="K416" s="13"/>
    </row>
    <row r="417" spans="1:11" ht="15" customHeight="1" x14ac:dyDescent="0.25">
      <c r="A417" s="13"/>
      <c r="B417" s="13"/>
      <c r="C417" s="13"/>
      <c r="D417" s="12"/>
      <c r="E417" s="12"/>
      <c r="F417" s="13"/>
      <c r="G417" s="14"/>
      <c r="H417" s="13"/>
      <c r="I417" s="14"/>
      <c r="J417" s="13"/>
      <c r="K417" s="13"/>
    </row>
    <row r="418" spans="1:11" ht="15" customHeight="1" x14ac:dyDescent="0.25">
      <c r="A418" s="13"/>
      <c r="B418" s="13"/>
      <c r="C418" s="13"/>
      <c r="D418" s="12"/>
      <c r="E418" s="12"/>
      <c r="F418" s="13"/>
      <c r="G418" s="14"/>
      <c r="H418" s="13"/>
      <c r="I418" s="14"/>
      <c r="J418" s="13"/>
      <c r="K418" s="13"/>
    </row>
    <row r="419" spans="1:11" ht="15" customHeight="1" x14ac:dyDescent="0.25">
      <c r="A419" s="13"/>
      <c r="B419" s="13"/>
      <c r="C419" s="13"/>
      <c r="D419" s="12"/>
      <c r="E419" s="12"/>
      <c r="F419" s="13"/>
      <c r="G419" s="14"/>
      <c r="H419" s="13"/>
      <c r="I419" s="14"/>
      <c r="J419" s="13"/>
      <c r="K419" s="13"/>
    </row>
    <row r="420" spans="1:11" ht="15" customHeight="1" x14ac:dyDescent="0.25">
      <c r="A420" s="13"/>
      <c r="B420" s="13"/>
      <c r="C420" s="13"/>
      <c r="D420" s="12"/>
      <c r="E420" s="12"/>
      <c r="F420" s="13"/>
      <c r="G420" s="14"/>
      <c r="H420" s="13"/>
      <c r="I420" s="14"/>
      <c r="J420" s="13"/>
      <c r="K420" s="13"/>
    </row>
    <row r="421" spans="1:11" ht="15" customHeight="1" x14ac:dyDescent="0.25">
      <c r="A421" s="13"/>
      <c r="B421" s="13"/>
      <c r="C421" s="13"/>
      <c r="D421" s="12"/>
      <c r="E421" s="12"/>
      <c r="F421" s="13"/>
      <c r="G421" s="14"/>
      <c r="H421" s="13"/>
      <c r="I421" s="14"/>
      <c r="J421" s="13"/>
      <c r="K421" s="13"/>
    </row>
    <row r="422" spans="1:11" ht="15" customHeight="1" x14ac:dyDescent="0.25">
      <c r="A422" s="13"/>
      <c r="B422" s="13"/>
      <c r="C422" s="13"/>
      <c r="D422" s="12"/>
      <c r="E422" s="12"/>
      <c r="F422" s="13"/>
      <c r="G422" s="14"/>
      <c r="H422" s="13"/>
      <c r="I422" s="14"/>
      <c r="J422" s="13"/>
      <c r="K422" s="13"/>
    </row>
    <row r="423" spans="1:11" ht="15" customHeight="1" x14ac:dyDescent="0.25">
      <c r="A423" s="13"/>
      <c r="B423" s="13"/>
      <c r="C423" s="13"/>
      <c r="D423" s="12"/>
      <c r="E423" s="12"/>
      <c r="F423" s="13"/>
      <c r="G423" s="14"/>
      <c r="H423" s="13"/>
      <c r="I423" s="14"/>
      <c r="J423" s="13"/>
      <c r="K423" s="13"/>
    </row>
    <row r="424" spans="1:11" ht="15" customHeight="1" x14ac:dyDescent="0.25">
      <c r="A424" s="13"/>
      <c r="B424" s="13"/>
      <c r="C424" s="13"/>
      <c r="D424" s="12"/>
      <c r="E424" s="12"/>
      <c r="F424" s="13"/>
      <c r="G424" s="14"/>
      <c r="H424" s="13"/>
      <c r="I424" s="14"/>
      <c r="J424" s="13"/>
      <c r="K424" s="13"/>
    </row>
    <row r="425" spans="1:11" ht="15" customHeight="1" x14ac:dyDescent="0.25">
      <c r="A425" s="13"/>
      <c r="B425" s="13"/>
      <c r="C425" s="13"/>
      <c r="D425" s="12"/>
      <c r="E425" s="12"/>
      <c r="F425" s="13"/>
      <c r="G425" s="14"/>
      <c r="H425" s="13"/>
      <c r="I425" s="14"/>
      <c r="J425" s="13"/>
      <c r="K425" s="13"/>
    </row>
    <row r="426" spans="1:11" ht="15" customHeight="1" x14ac:dyDescent="0.25">
      <c r="A426" s="13"/>
      <c r="B426" s="13"/>
      <c r="C426" s="13"/>
      <c r="D426" s="12"/>
      <c r="E426" s="12"/>
      <c r="F426" s="13"/>
      <c r="G426" s="14"/>
      <c r="H426" s="13"/>
      <c r="I426" s="14"/>
      <c r="J426" s="13"/>
      <c r="K426" s="13"/>
    </row>
    <row r="427" spans="1:11" ht="15" customHeight="1" x14ac:dyDescent="0.25">
      <c r="A427" s="13"/>
      <c r="B427" s="13"/>
      <c r="C427" s="13"/>
      <c r="D427" s="12"/>
      <c r="E427" s="12"/>
      <c r="F427" s="13"/>
      <c r="G427" s="14"/>
      <c r="H427" s="13"/>
      <c r="I427" s="14"/>
      <c r="J427" s="13"/>
      <c r="K427" s="13"/>
    </row>
    <row r="428" spans="1:11" ht="15" customHeight="1" x14ac:dyDescent="0.25">
      <c r="A428" s="13"/>
      <c r="B428" s="13"/>
      <c r="C428" s="13"/>
      <c r="D428" s="12"/>
      <c r="E428" s="12"/>
      <c r="F428" s="13"/>
      <c r="G428" s="14"/>
      <c r="H428" s="13"/>
      <c r="I428" s="14"/>
      <c r="J428" s="13"/>
      <c r="K428" s="13"/>
    </row>
    <row r="429" spans="1:11" ht="15" customHeight="1" x14ac:dyDescent="0.25">
      <c r="A429" s="13"/>
      <c r="B429" s="13"/>
      <c r="C429" s="13"/>
      <c r="D429" s="12"/>
      <c r="E429" s="12"/>
      <c r="F429" s="13"/>
      <c r="G429" s="14"/>
      <c r="H429" s="13"/>
      <c r="I429" s="14"/>
      <c r="J429" s="13"/>
      <c r="K429" s="13"/>
    </row>
    <row r="430" spans="1:11" ht="15" customHeight="1" x14ac:dyDescent="0.25">
      <c r="A430" s="13"/>
      <c r="B430" s="13"/>
      <c r="C430" s="13"/>
      <c r="D430" s="12"/>
      <c r="E430" s="12"/>
      <c r="F430" s="13"/>
      <c r="G430" s="14"/>
      <c r="H430" s="13"/>
      <c r="I430" s="14"/>
      <c r="J430" s="13"/>
      <c r="K430" s="13"/>
    </row>
    <row r="431" spans="1:11" ht="15" customHeight="1" x14ac:dyDescent="0.25">
      <c r="A431" s="13"/>
      <c r="B431" s="13"/>
      <c r="C431" s="13"/>
      <c r="D431" s="12"/>
      <c r="E431" s="12"/>
      <c r="F431" s="13"/>
      <c r="G431" s="14"/>
      <c r="H431" s="13"/>
      <c r="I431" s="14"/>
      <c r="J431" s="13"/>
      <c r="K431" s="13"/>
    </row>
    <row r="432" spans="1:11" ht="15" customHeight="1" x14ac:dyDescent="0.25">
      <c r="A432" s="13"/>
      <c r="B432" s="13"/>
      <c r="C432" s="13"/>
      <c r="D432" s="12"/>
      <c r="E432" s="12"/>
      <c r="F432" s="13"/>
      <c r="G432" s="14"/>
      <c r="H432" s="13"/>
      <c r="I432" s="14"/>
      <c r="J432" s="13"/>
      <c r="K432" s="13"/>
    </row>
    <row r="433" spans="1:11" ht="15" customHeight="1" x14ac:dyDescent="0.25">
      <c r="A433" s="13"/>
      <c r="B433" s="13"/>
      <c r="C433" s="13"/>
      <c r="D433" s="12"/>
      <c r="E433" s="12"/>
      <c r="F433" s="13"/>
      <c r="G433" s="14"/>
      <c r="H433" s="13"/>
      <c r="I433" s="14"/>
      <c r="J433" s="13"/>
      <c r="K433" s="13"/>
    </row>
    <row r="434" spans="1:11" ht="15" customHeight="1" x14ac:dyDescent="0.25">
      <c r="A434" s="13"/>
      <c r="B434" s="13"/>
      <c r="C434" s="13"/>
      <c r="D434" s="12"/>
      <c r="E434" s="12"/>
      <c r="F434" s="13"/>
      <c r="G434" s="14"/>
      <c r="H434" s="13"/>
      <c r="I434" s="14"/>
      <c r="J434" s="13"/>
      <c r="K434" s="13"/>
    </row>
    <row r="435" spans="1:11" ht="15" customHeight="1" x14ac:dyDescent="0.25">
      <c r="A435" s="13"/>
      <c r="B435" s="13"/>
      <c r="C435" s="13"/>
      <c r="D435" s="12"/>
      <c r="E435" s="12"/>
      <c r="F435" s="13"/>
      <c r="G435" s="14"/>
      <c r="H435" s="13"/>
      <c r="I435" s="14"/>
      <c r="J435" s="13"/>
      <c r="K435" s="13"/>
    </row>
    <row r="436" spans="1:11" ht="15" customHeight="1" x14ac:dyDescent="0.25">
      <c r="A436" s="13"/>
      <c r="B436" s="13"/>
      <c r="C436" s="13"/>
      <c r="D436" s="12"/>
      <c r="E436" s="12"/>
      <c r="F436" s="13"/>
      <c r="G436" s="14"/>
      <c r="H436" s="13"/>
      <c r="I436" s="14"/>
      <c r="J436" s="13"/>
      <c r="K436" s="13"/>
    </row>
    <row r="437" spans="1:11" ht="15" customHeight="1" x14ac:dyDescent="0.25">
      <c r="A437" s="13"/>
      <c r="B437" s="13"/>
      <c r="C437" s="13"/>
      <c r="D437" s="12"/>
      <c r="E437" s="12"/>
      <c r="F437" s="13"/>
      <c r="G437" s="14"/>
      <c r="H437" s="13"/>
      <c r="I437" s="14"/>
      <c r="J437" s="13"/>
      <c r="K437" s="13"/>
    </row>
    <row r="438" spans="1:11" ht="15" customHeight="1" x14ac:dyDescent="0.25">
      <c r="A438" s="13"/>
      <c r="B438" s="13"/>
      <c r="C438" s="13"/>
      <c r="D438" s="12"/>
      <c r="E438" s="12"/>
      <c r="F438" s="13"/>
      <c r="G438" s="14"/>
      <c r="H438" s="13"/>
      <c r="I438" s="14"/>
      <c r="J438" s="13"/>
      <c r="K438" s="13"/>
    </row>
    <row r="439" spans="1:11" ht="15" customHeight="1" x14ac:dyDescent="0.25">
      <c r="A439" s="13"/>
      <c r="B439" s="13"/>
      <c r="C439" s="13"/>
      <c r="D439" s="12"/>
      <c r="E439" s="12"/>
      <c r="F439" s="13"/>
      <c r="G439" s="14"/>
      <c r="H439" s="13"/>
      <c r="I439" s="14"/>
      <c r="J439" s="13"/>
      <c r="K439" s="13"/>
    </row>
    <row r="440" spans="1:11" ht="15" customHeight="1" x14ac:dyDescent="0.25">
      <c r="A440" s="13"/>
      <c r="B440" s="13"/>
      <c r="C440" s="13"/>
      <c r="D440" s="12"/>
      <c r="E440" s="12"/>
      <c r="F440" s="13"/>
      <c r="G440" s="14"/>
      <c r="H440" s="13"/>
      <c r="I440" s="14"/>
      <c r="J440" s="13"/>
      <c r="K440" s="13"/>
    </row>
    <row r="441" spans="1:11" ht="15" customHeight="1" x14ac:dyDescent="0.25">
      <c r="A441" s="13"/>
      <c r="B441" s="13"/>
      <c r="C441" s="13"/>
      <c r="D441" s="12"/>
      <c r="E441" s="12"/>
      <c r="F441" s="13"/>
      <c r="G441" s="14"/>
      <c r="H441" s="13"/>
      <c r="I441" s="14"/>
      <c r="J441" s="13"/>
      <c r="K441" s="13"/>
    </row>
    <row r="442" spans="1:11" ht="15" customHeight="1" x14ac:dyDescent="0.25">
      <c r="A442" s="13"/>
      <c r="B442" s="13"/>
      <c r="C442" s="13"/>
      <c r="D442" s="12"/>
      <c r="E442" s="12"/>
      <c r="F442" s="13"/>
      <c r="G442" s="14"/>
      <c r="H442" s="13"/>
      <c r="I442" s="14"/>
      <c r="J442" s="13"/>
      <c r="K442" s="13"/>
    </row>
    <row r="443" spans="1:11" ht="15" customHeight="1" x14ac:dyDescent="0.25">
      <c r="A443" s="13"/>
      <c r="B443" s="13"/>
      <c r="C443" s="13"/>
      <c r="D443" s="12"/>
      <c r="E443" s="12"/>
      <c r="F443" s="13"/>
      <c r="G443" s="14"/>
      <c r="H443" s="13"/>
      <c r="I443" s="14"/>
      <c r="J443" s="13"/>
      <c r="K443" s="13"/>
    </row>
    <row r="444" spans="1:11" ht="15" customHeight="1" x14ac:dyDescent="0.25">
      <c r="A444" s="13"/>
      <c r="B444" s="13"/>
      <c r="C444" s="13"/>
      <c r="D444" s="12"/>
      <c r="E444" s="12"/>
      <c r="F444" s="13"/>
      <c r="G444" s="14"/>
      <c r="H444" s="13"/>
      <c r="I444" s="14"/>
      <c r="J444" s="13"/>
      <c r="K444" s="13"/>
    </row>
    <row r="445" spans="1:11" ht="15" customHeight="1" x14ac:dyDescent="0.25">
      <c r="A445" s="13"/>
      <c r="B445" s="13"/>
      <c r="C445" s="13"/>
      <c r="D445" s="12"/>
      <c r="E445" s="12"/>
      <c r="F445" s="13"/>
      <c r="G445" s="14"/>
      <c r="H445" s="13"/>
      <c r="I445" s="14"/>
      <c r="J445" s="13"/>
      <c r="K445" s="13"/>
    </row>
    <row r="446" spans="1:11" ht="15" customHeight="1" x14ac:dyDescent="0.25">
      <c r="A446" s="13"/>
      <c r="B446" s="13"/>
      <c r="C446" s="13"/>
      <c r="D446" s="12"/>
      <c r="E446" s="12"/>
      <c r="F446" s="13"/>
      <c r="G446" s="14"/>
      <c r="H446" s="13"/>
      <c r="I446" s="14"/>
      <c r="J446" s="13"/>
      <c r="K446" s="13"/>
    </row>
    <row r="447" spans="1:11" ht="15" customHeight="1" x14ac:dyDescent="0.25">
      <c r="A447" s="13"/>
      <c r="B447" s="13"/>
      <c r="C447" s="13"/>
      <c r="D447" s="12"/>
      <c r="E447" s="12"/>
      <c r="F447" s="13"/>
      <c r="G447" s="14"/>
      <c r="H447" s="13"/>
      <c r="I447" s="14"/>
      <c r="J447" s="13"/>
      <c r="K447" s="13"/>
    </row>
    <row r="448" spans="1:11" ht="15" customHeight="1" x14ac:dyDescent="0.25">
      <c r="A448" s="13"/>
      <c r="B448" s="13"/>
      <c r="C448" s="13"/>
      <c r="D448" s="12"/>
      <c r="E448" s="12"/>
      <c r="F448" s="13"/>
      <c r="G448" s="14"/>
      <c r="H448" s="13"/>
      <c r="I448" s="14"/>
      <c r="J448" s="13"/>
      <c r="K448" s="13"/>
    </row>
    <row r="449" spans="1:11" ht="15" customHeight="1" x14ac:dyDescent="0.25">
      <c r="A449" s="13"/>
      <c r="B449" s="13"/>
      <c r="C449" s="13"/>
      <c r="D449" s="12"/>
      <c r="E449" s="12"/>
      <c r="F449" s="13"/>
      <c r="G449" s="14"/>
      <c r="H449" s="13"/>
      <c r="I449" s="14"/>
      <c r="J449" s="13"/>
      <c r="K449" s="13"/>
    </row>
    <row r="450" spans="1:11" ht="15" customHeight="1" x14ac:dyDescent="0.25">
      <c r="A450" s="13"/>
      <c r="B450" s="13"/>
      <c r="C450" s="13"/>
      <c r="D450" s="12"/>
      <c r="E450" s="12"/>
      <c r="F450" s="13"/>
      <c r="G450" s="14"/>
      <c r="H450" s="13"/>
      <c r="I450" s="14"/>
      <c r="J450" s="13"/>
      <c r="K450" s="13"/>
    </row>
    <row r="451" spans="1:11" ht="15" customHeight="1" x14ac:dyDescent="0.25">
      <c r="A451" s="13"/>
      <c r="B451" s="13"/>
      <c r="C451" s="13"/>
      <c r="D451" s="12"/>
      <c r="E451" s="12"/>
      <c r="F451" s="13"/>
      <c r="G451" s="14"/>
      <c r="H451" s="13"/>
      <c r="I451" s="14"/>
      <c r="J451" s="13"/>
      <c r="K451" s="13"/>
    </row>
    <row r="452" spans="1:11" ht="15" customHeight="1" x14ac:dyDescent="0.25">
      <c r="A452" s="13"/>
      <c r="B452" s="13"/>
      <c r="C452" s="13"/>
      <c r="D452" s="12"/>
      <c r="E452" s="12"/>
      <c r="F452" s="13"/>
      <c r="G452" s="14"/>
      <c r="H452" s="13"/>
      <c r="I452" s="14"/>
      <c r="J452" s="13"/>
      <c r="K452" s="13"/>
    </row>
    <row r="453" spans="1:11" ht="15" customHeight="1" x14ac:dyDescent="0.25">
      <c r="A453" s="13"/>
      <c r="B453" s="13"/>
      <c r="C453" s="13"/>
      <c r="D453" s="12"/>
      <c r="E453" s="12"/>
      <c r="F453" s="13"/>
      <c r="G453" s="14"/>
      <c r="H453" s="13"/>
      <c r="I453" s="14"/>
      <c r="J453" s="13"/>
      <c r="K453" s="13"/>
    </row>
    <row r="454" spans="1:11" ht="15" customHeight="1" x14ac:dyDescent="0.25">
      <c r="A454" s="13"/>
      <c r="B454" s="13"/>
      <c r="C454" s="13"/>
      <c r="D454" s="12"/>
      <c r="E454" s="12"/>
      <c r="F454" s="13"/>
      <c r="G454" s="14"/>
      <c r="H454" s="13"/>
      <c r="I454" s="14"/>
      <c r="J454" s="13"/>
      <c r="K454" s="13"/>
    </row>
    <row r="455" spans="1:11" ht="15" customHeight="1" x14ac:dyDescent="0.25">
      <c r="A455" s="13"/>
      <c r="B455" s="13"/>
      <c r="C455" s="13"/>
      <c r="D455" s="12"/>
      <c r="E455" s="12"/>
      <c r="F455" s="13"/>
      <c r="G455" s="14"/>
      <c r="H455" s="13"/>
      <c r="I455" s="14"/>
      <c r="J455" s="13"/>
      <c r="K455" s="13"/>
    </row>
    <row r="456" spans="1:11" ht="15" customHeight="1" x14ac:dyDescent="0.25">
      <c r="A456" s="13"/>
      <c r="B456" s="13"/>
      <c r="C456" s="13"/>
      <c r="D456" s="12"/>
      <c r="E456" s="12"/>
      <c r="F456" s="13"/>
      <c r="G456" s="14"/>
      <c r="H456" s="13"/>
      <c r="I456" s="14"/>
      <c r="J456" s="13"/>
      <c r="K456" s="13"/>
    </row>
    <row r="457" spans="1:11" ht="15" customHeight="1" x14ac:dyDescent="0.25">
      <c r="A457" s="13"/>
      <c r="B457" s="13"/>
      <c r="C457" s="13"/>
      <c r="D457" s="12"/>
      <c r="E457" s="12"/>
      <c r="F457" s="13"/>
      <c r="G457" s="14"/>
      <c r="H457" s="13"/>
      <c r="I457" s="14"/>
      <c r="J457" s="13"/>
      <c r="K457" s="13"/>
    </row>
    <row r="458" spans="1:11" ht="15" customHeight="1" x14ac:dyDescent="0.25">
      <c r="A458" s="13"/>
      <c r="B458" s="13"/>
      <c r="C458" s="13"/>
      <c r="D458" s="12"/>
      <c r="E458" s="12"/>
      <c r="F458" s="13"/>
      <c r="G458" s="14"/>
      <c r="H458" s="13"/>
      <c r="I458" s="14"/>
      <c r="J458" s="13"/>
      <c r="K458" s="13"/>
    </row>
    <row r="459" spans="1:11" ht="15" customHeight="1" x14ac:dyDescent="0.25">
      <c r="A459" s="13"/>
      <c r="B459" s="13"/>
      <c r="C459" s="13"/>
      <c r="D459" s="12"/>
      <c r="E459" s="12"/>
      <c r="F459" s="13"/>
      <c r="G459" s="14"/>
      <c r="H459" s="13"/>
      <c r="I459" s="14"/>
      <c r="J459" s="13"/>
      <c r="K459" s="13"/>
    </row>
    <row r="460" spans="1:11" ht="15" customHeight="1" x14ac:dyDescent="0.25">
      <c r="A460" s="13"/>
      <c r="B460" s="13"/>
      <c r="C460" s="13"/>
      <c r="D460" s="12"/>
      <c r="E460" s="12"/>
      <c r="F460" s="13"/>
      <c r="G460" s="14"/>
      <c r="H460" s="13"/>
      <c r="I460" s="14"/>
      <c r="J460" s="13"/>
      <c r="K460" s="13"/>
    </row>
    <row r="461" spans="1:11" ht="15" customHeight="1" x14ac:dyDescent="0.25">
      <c r="A461" s="13"/>
      <c r="B461" s="13"/>
      <c r="C461" s="13"/>
      <c r="D461" s="12"/>
      <c r="E461" s="12"/>
      <c r="F461" s="13"/>
      <c r="G461" s="14"/>
      <c r="H461" s="13"/>
      <c r="I461" s="14"/>
      <c r="J461" s="13"/>
      <c r="K461" s="13"/>
    </row>
    <row r="462" spans="1:11" ht="15" customHeight="1" x14ac:dyDescent="0.25">
      <c r="A462" s="13"/>
      <c r="B462" s="13"/>
      <c r="C462" s="13"/>
      <c r="D462" s="12"/>
      <c r="E462" s="12"/>
      <c r="F462" s="13"/>
      <c r="G462" s="14"/>
      <c r="H462" s="13"/>
      <c r="I462" s="14"/>
      <c r="J462" s="13"/>
      <c r="K462" s="13"/>
    </row>
    <row r="463" spans="1:11" ht="15" customHeight="1" x14ac:dyDescent="0.25">
      <c r="A463" s="13"/>
      <c r="B463" s="13"/>
      <c r="C463" s="13"/>
      <c r="D463" s="12"/>
      <c r="E463" s="12"/>
      <c r="F463" s="13"/>
      <c r="G463" s="14"/>
      <c r="H463" s="13"/>
      <c r="I463" s="14"/>
      <c r="J463" s="13"/>
      <c r="K463" s="13"/>
    </row>
    <row r="464" spans="1:11" ht="15" customHeight="1" x14ac:dyDescent="0.25">
      <c r="A464" s="13"/>
      <c r="B464" s="13"/>
      <c r="C464" s="13"/>
      <c r="D464" s="12"/>
      <c r="E464" s="12"/>
      <c r="F464" s="13"/>
      <c r="G464" s="14"/>
      <c r="H464" s="13"/>
      <c r="I464" s="14"/>
      <c r="J464" s="13"/>
      <c r="K464" s="13"/>
    </row>
    <row r="465" spans="1:11" ht="15" customHeight="1" x14ac:dyDescent="0.25">
      <c r="A465" s="13"/>
      <c r="B465" s="13"/>
      <c r="C465" s="13"/>
      <c r="D465" s="12"/>
      <c r="E465" s="12"/>
      <c r="F465" s="13"/>
      <c r="G465" s="14"/>
      <c r="H465" s="13"/>
      <c r="I465" s="14"/>
      <c r="J465" s="13"/>
      <c r="K465" s="13"/>
    </row>
    <row r="466" spans="1:11" ht="15" customHeight="1" x14ac:dyDescent="0.25">
      <c r="A466" s="13"/>
      <c r="B466" s="13"/>
      <c r="C466" s="13"/>
      <c r="D466" s="12"/>
      <c r="E466" s="12"/>
      <c r="F466" s="13"/>
      <c r="G466" s="14"/>
      <c r="H466" s="13"/>
      <c r="I466" s="14"/>
      <c r="J466" s="13"/>
      <c r="K466" s="13"/>
    </row>
    <row r="467" spans="1:11" ht="15" customHeight="1" x14ac:dyDescent="0.25">
      <c r="A467" s="13"/>
      <c r="B467" s="13"/>
      <c r="C467" s="13"/>
      <c r="D467" s="12"/>
      <c r="E467" s="12"/>
      <c r="F467" s="13"/>
      <c r="G467" s="14"/>
      <c r="H467" s="13"/>
      <c r="I467" s="14"/>
      <c r="J467" s="13"/>
      <c r="K467" s="13"/>
    </row>
    <row r="468" spans="1:11" ht="15" customHeight="1" x14ac:dyDescent="0.25">
      <c r="A468" s="13"/>
      <c r="B468" s="13"/>
      <c r="C468" s="13"/>
      <c r="D468" s="12"/>
      <c r="E468" s="12"/>
      <c r="F468" s="13"/>
      <c r="G468" s="14"/>
      <c r="H468" s="13"/>
      <c r="I468" s="14"/>
      <c r="J468" s="13"/>
      <c r="K468" s="13"/>
    </row>
    <row r="469" spans="1:11" ht="15" customHeight="1" x14ac:dyDescent="0.25">
      <c r="A469" s="13"/>
      <c r="B469" s="13"/>
      <c r="C469" s="13"/>
      <c r="D469" s="12"/>
      <c r="E469" s="12"/>
      <c r="F469" s="13"/>
      <c r="G469" s="13"/>
      <c r="H469" s="13"/>
      <c r="I469" s="14"/>
      <c r="J469" s="13"/>
      <c r="K469" s="13"/>
    </row>
    <row r="470" spans="1:11" ht="15" customHeight="1" x14ac:dyDescent="0.25">
      <c r="A470" s="13"/>
      <c r="B470" s="13"/>
      <c r="C470" s="13"/>
      <c r="D470" s="12"/>
      <c r="E470" s="12"/>
      <c r="F470" s="13"/>
      <c r="G470" s="13"/>
      <c r="H470" s="13"/>
      <c r="I470" s="14"/>
      <c r="J470" s="13"/>
      <c r="K470" s="13"/>
    </row>
    <row r="471" spans="1:11" ht="15" customHeight="1" x14ac:dyDescent="0.25">
      <c r="A471" s="13"/>
      <c r="B471" s="13"/>
      <c r="C471" s="13"/>
      <c r="D471" s="12"/>
      <c r="E471" s="12"/>
      <c r="F471" s="13"/>
      <c r="G471" s="13"/>
      <c r="H471" s="13"/>
      <c r="I471" s="14"/>
      <c r="J471" s="13"/>
      <c r="K471" s="13"/>
    </row>
    <row r="472" spans="1:11" ht="15" customHeight="1" x14ac:dyDescent="0.25">
      <c r="A472" s="13"/>
      <c r="B472" s="13"/>
      <c r="C472" s="13"/>
      <c r="D472" s="12"/>
      <c r="E472" s="12"/>
      <c r="F472" s="13"/>
      <c r="G472" s="13"/>
      <c r="H472" s="13"/>
      <c r="I472" s="14"/>
      <c r="J472" s="13"/>
      <c r="K472" s="13"/>
    </row>
    <row r="473" spans="1:11" ht="15" customHeight="1" x14ac:dyDescent="0.25">
      <c r="A473" s="13"/>
      <c r="B473" s="13"/>
      <c r="C473" s="13"/>
      <c r="D473" s="12"/>
      <c r="E473" s="12"/>
      <c r="F473" s="13"/>
      <c r="G473" s="13"/>
      <c r="H473" s="13"/>
      <c r="I473" s="14"/>
      <c r="J473" s="13"/>
      <c r="K473" s="13"/>
    </row>
    <row r="474" spans="1:11" ht="15" customHeight="1" x14ac:dyDescent="0.25">
      <c r="A474" s="13"/>
      <c r="B474" s="13"/>
      <c r="C474" s="13"/>
      <c r="D474" s="12"/>
      <c r="E474" s="12"/>
      <c r="F474" s="13"/>
      <c r="G474" s="13"/>
      <c r="H474" s="13"/>
      <c r="I474" s="14"/>
      <c r="J474" s="13"/>
      <c r="K474" s="13"/>
    </row>
    <row r="475" spans="1:11" ht="15" customHeight="1" x14ac:dyDescent="0.25">
      <c r="A475" s="13"/>
      <c r="B475" s="13"/>
      <c r="C475" s="13"/>
      <c r="D475" s="12"/>
      <c r="E475" s="12"/>
      <c r="F475" s="13"/>
      <c r="G475" s="13"/>
      <c r="H475" s="13"/>
      <c r="I475" s="14"/>
      <c r="J475" s="13"/>
      <c r="K475" s="13"/>
    </row>
    <row r="476" spans="1:11" ht="15" customHeight="1" x14ac:dyDescent="0.25">
      <c r="A476" s="13"/>
      <c r="B476" s="13"/>
      <c r="C476" s="13"/>
      <c r="D476" s="12"/>
      <c r="E476" s="12"/>
      <c r="F476" s="13"/>
      <c r="G476" s="13"/>
      <c r="H476" s="13"/>
      <c r="I476" s="14"/>
      <c r="J476" s="13"/>
      <c r="K476" s="13"/>
    </row>
    <row r="477" spans="1:11" ht="15" customHeight="1" x14ac:dyDescent="0.25">
      <c r="A477" s="13"/>
      <c r="B477" s="13"/>
      <c r="C477" s="13"/>
      <c r="D477" s="12"/>
      <c r="E477" s="12"/>
      <c r="F477" s="13"/>
      <c r="G477" s="13"/>
      <c r="H477" s="13"/>
      <c r="I477" s="14"/>
      <c r="J477" s="13"/>
      <c r="K477" s="13"/>
    </row>
    <row r="478" spans="1:11" ht="15" customHeight="1" x14ac:dyDescent="0.25">
      <c r="A478" s="13"/>
      <c r="B478" s="13"/>
      <c r="C478" s="13"/>
      <c r="D478" s="12"/>
      <c r="E478" s="12"/>
      <c r="F478" s="13"/>
      <c r="G478" s="13"/>
      <c r="H478" s="13"/>
      <c r="I478" s="14"/>
      <c r="J478" s="13"/>
      <c r="K478" s="13"/>
    </row>
    <row r="479" spans="1:11" ht="15" customHeight="1" x14ac:dyDescent="0.25">
      <c r="A479" s="13"/>
      <c r="B479" s="13"/>
      <c r="C479" s="13"/>
      <c r="D479" s="12"/>
      <c r="E479" s="12"/>
      <c r="F479" s="13"/>
      <c r="G479" s="13"/>
      <c r="H479" s="13"/>
      <c r="I479" s="14"/>
      <c r="J479" s="13"/>
      <c r="K479" s="13"/>
    </row>
    <row r="480" spans="1:11" ht="15" customHeight="1" x14ac:dyDescent="0.25">
      <c r="A480" s="13"/>
      <c r="B480" s="13"/>
      <c r="C480" s="13"/>
      <c r="D480" s="12"/>
      <c r="E480" s="12"/>
      <c r="F480" s="13"/>
      <c r="G480" s="13"/>
      <c r="H480" s="13"/>
      <c r="I480" s="14"/>
      <c r="J480" s="13"/>
      <c r="K480" s="13"/>
    </row>
    <row r="481" spans="1:11" ht="15" customHeight="1" x14ac:dyDescent="0.25">
      <c r="A481" s="13"/>
      <c r="B481" s="13"/>
      <c r="C481" s="13"/>
      <c r="D481" s="12"/>
      <c r="E481" s="12"/>
      <c r="F481" s="13"/>
      <c r="G481" s="13"/>
      <c r="H481" s="13"/>
      <c r="I481" s="14"/>
      <c r="J481" s="13"/>
      <c r="K481" s="13"/>
    </row>
    <row r="482" spans="1:11" ht="15" customHeight="1" x14ac:dyDescent="0.25">
      <c r="A482" s="13"/>
      <c r="B482" s="13"/>
      <c r="C482" s="13"/>
      <c r="D482" s="12"/>
      <c r="E482" s="12"/>
      <c r="F482" s="13"/>
      <c r="G482" s="13"/>
      <c r="H482" s="13"/>
      <c r="I482" s="14"/>
      <c r="J482" s="13"/>
      <c r="K482" s="13"/>
    </row>
    <row r="483" spans="1:11" ht="15" customHeight="1" x14ac:dyDescent="0.25">
      <c r="A483" s="13"/>
      <c r="B483" s="13"/>
      <c r="C483" s="13"/>
      <c r="D483" s="12"/>
      <c r="E483" s="12"/>
      <c r="F483" s="13"/>
      <c r="G483" s="13"/>
      <c r="H483" s="13"/>
      <c r="I483" s="14"/>
      <c r="J483" s="13"/>
      <c r="K483" s="13"/>
    </row>
    <row r="484" spans="1:11" ht="15" customHeight="1" x14ac:dyDescent="0.25">
      <c r="A484" s="13"/>
      <c r="B484" s="13"/>
      <c r="C484" s="13"/>
      <c r="D484" s="12"/>
      <c r="E484" s="12"/>
      <c r="F484" s="13"/>
      <c r="G484" s="13"/>
      <c r="H484" s="13"/>
      <c r="I484" s="14"/>
      <c r="J484" s="13"/>
      <c r="K484" s="13"/>
    </row>
    <row r="485" spans="1:11" ht="15" customHeight="1" x14ac:dyDescent="0.25">
      <c r="A485" s="13"/>
      <c r="B485" s="13"/>
      <c r="C485" s="13"/>
      <c r="D485" s="12"/>
      <c r="E485" s="12"/>
      <c r="F485" s="13"/>
      <c r="G485" s="13"/>
      <c r="H485" s="13"/>
      <c r="I485" s="14"/>
      <c r="J485" s="13"/>
      <c r="K485" s="13"/>
    </row>
    <row r="486" spans="1:11" ht="15" customHeight="1" x14ac:dyDescent="0.25">
      <c r="A486" s="13"/>
      <c r="B486" s="13"/>
      <c r="C486" s="13"/>
      <c r="D486" s="12"/>
      <c r="E486" s="12"/>
      <c r="F486" s="13"/>
      <c r="G486" s="13"/>
      <c r="H486" s="13"/>
      <c r="I486" s="14"/>
      <c r="J486" s="13"/>
      <c r="K486" s="13"/>
    </row>
    <row r="487" spans="1:11" ht="15" customHeight="1" x14ac:dyDescent="0.25">
      <c r="A487" s="13"/>
      <c r="B487" s="13"/>
      <c r="C487" s="13"/>
      <c r="D487" s="12"/>
      <c r="E487" s="12"/>
      <c r="F487" s="13"/>
      <c r="G487" s="13"/>
      <c r="H487" s="13"/>
      <c r="I487" s="14"/>
      <c r="J487" s="13"/>
      <c r="K487" s="13"/>
    </row>
    <row r="488" spans="1:11" ht="15" customHeight="1" x14ac:dyDescent="0.25">
      <c r="A488" s="13"/>
      <c r="B488" s="13"/>
      <c r="C488" s="13"/>
      <c r="D488" s="12"/>
      <c r="E488" s="12"/>
      <c r="F488" s="13"/>
      <c r="G488" s="13"/>
      <c r="H488" s="13"/>
      <c r="I488" s="14"/>
      <c r="J488" s="13"/>
      <c r="K488" s="13"/>
    </row>
    <row r="489" spans="1:11" ht="15" customHeight="1" x14ac:dyDescent="0.25">
      <c r="A489" s="13"/>
      <c r="B489" s="13"/>
      <c r="C489" s="13"/>
      <c r="D489" s="12"/>
      <c r="E489" s="12"/>
      <c r="F489" s="13"/>
      <c r="G489" s="13"/>
      <c r="H489" s="13"/>
      <c r="I489" s="14"/>
      <c r="J489" s="13"/>
      <c r="K489" s="13"/>
    </row>
    <row r="490" spans="1:11" ht="15" customHeight="1" x14ac:dyDescent="0.25">
      <c r="A490" s="13"/>
      <c r="B490" s="13"/>
      <c r="C490" s="13"/>
      <c r="D490" s="12"/>
      <c r="E490" s="12"/>
      <c r="F490" s="13"/>
      <c r="G490" s="13"/>
      <c r="H490" s="13"/>
      <c r="I490" s="14"/>
      <c r="J490" s="13"/>
      <c r="K490" s="13"/>
    </row>
    <row r="491" spans="1:11" ht="15" customHeight="1" x14ac:dyDescent="0.25">
      <c r="A491" s="13"/>
      <c r="B491" s="13"/>
      <c r="C491" s="13"/>
      <c r="D491" s="12"/>
      <c r="E491" s="12"/>
      <c r="F491" s="13"/>
      <c r="G491" s="13"/>
      <c r="H491" s="13"/>
      <c r="I491" s="14"/>
      <c r="J491" s="13"/>
      <c r="K491" s="13"/>
    </row>
    <row r="492" spans="1:11" ht="15" customHeight="1" x14ac:dyDescent="0.25">
      <c r="A492" s="13"/>
      <c r="B492" s="13"/>
      <c r="C492" s="13"/>
      <c r="D492" s="12"/>
      <c r="E492" s="12"/>
      <c r="F492" s="13"/>
      <c r="G492" s="13"/>
      <c r="H492" s="13"/>
      <c r="I492" s="14"/>
      <c r="J492" s="13"/>
      <c r="K492" s="13"/>
    </row>
    <row r="493" spans="1:11" ht="15" customHeight="1" x14ac:dyDescent="0.25">
      <c r="A493" s="13"/>
      <c r="B493" s="13"/>
      <c r="C493" s="13"/>
      <c r="D493" s="12"/>
      <c r="E493" s="12"/>
      <c r="F493" s="13"/>
      <c r="G493" s="13"/>
      <c r="H493" s="13"/>
      <c r="I493" s="14"/>
      <c r="J493" s="13"/>
      <c r="K493" s="13"/>
    </row>
    <row r="494" spans="1:11" ht="15" customHeight="1" x14ac:dyDescent="0.25">
      <c r="A494" s="13"/>
      <c r="B494" s="13"/>
      <c r="C494" s="13"/>
      <c r="D494" s="12"/>
      <c r="E494" s="12"/>
      <c r="F494" s="13"/>
      <c r="G494" s="13"/>
      <c r="H494" s="13"/>
      <c r="I494" s="14"/>
      <c r="J494" s="13"/>
      <c r="K494" s="13"/>
    </row>
    <row r="495" spans="1:11" ht="15" customHeight="1" x14ac:dyDescent="0.25">
      <c r="A495" s="13"/>
      <c r="B495" s="13"/>
      <c r="C495" s="13"/>
      <c r="D495" s="12"/>
      <c r="E495" s="12"/>
      <c r="F495" s="13"/>
      <c r="G495" s="13"/>
      <c r="H495" s="13"/>
      <c r="I495" s="14"/>
      <c r="J495" s="13"/>
      <c r="K495" s="13"/>
    </row>
    <row r="496" spans="1:11" ht="15" customHeight="1" x14ac:dyDescent="0.25">
      <c r="A496" s="13"/>
      <c r="B496" s="13"/>
      <c r="C496" s="13"/>
      <c r="D496" s="12"/>
      <c r="E496" s="12"/>
      <c r="F496" s="13"/>
      <c r="G496" s="13"/>
      <c r="H496" s="13"/>
      <c r="I496" s="14"/>
      <c r="J496" s="13"/>
      <c r="K496" s="13"/>
    </row>
    <row r="497" spans="1:11" ht="15" customHeight="1" x14ac:dyDescent="0.25">
      <c r="A497" s="13"/>
      <c r="B497" s="13"/>
      <c r="C497" s="13"/>
      <c r="D497" s="12"/>
      <c r="E497" s="12"/>
      <c r="F497" s="13"/>
      <c r="G497" s="13"/>
      <c r="H497" s="13"/>
      <c r="I497" s="14"/>
      <c r="J497" s="13"/>
      <c r="K497" s="13"/>
    </row>
    <row r="498" spans="1:11" ht="15" customHeight="1" x14ac:dyDescent="0.25">
      <c r="A498" s="13"/>
      <c r="B498" s="13"/>
      <c r="C498" s="13"/>
      <c r="D498" s="12"/>
      <c r="E498" s="12"/>
      <c r="F498" s="13"/>
      <c r="G498" s="13"/>
      <c r="H498" s="13"/>
      <c r="I498" s="14"/>
      <c r="J498" s="13"/>
      <c r="K498" s="13"/>
    </row>
    <row r="499" spans="1:11" ht="15" customHeight="1" x14ac:dyDescent="0.25">
      <c r="A499" s="13"/>
      <c r="B499" s="13"/>
      <c r="C499" s="13"/>
      <c r="D499" s="12"/>
      <c r="E499" s="12"/>
      <c r="F499" s="13"/>
      <c r="G499" s="13"/>
      <c r="H499" s="13"/>
      <c r="I499" s="14"/>
      <c r="J499" s="13"/>
      <c r="K499" s="13"/>
    </row>
    <row r="500" spans="1:11" ht="15" customHeight="1" x14ac:dyDescent="0.25">
      <c r="A500" s="13"/>
      <c r="B500" s="13"/>
      <c r="C500" s="13"/>
      <c r="D500" s="12"/>
      <c r="E500" s="12"/>
      <c r="F500" s="13"/>
      <c r="G500" s="13"/>
      <c r="H500" s="13"/>
      <c r="I500" s="14"/>
      <c r="J500" s="13"/>
      <c r="K500" s="13"/>
    </row>
    <row r="501" spans="1:11" ht="15" customHeight="1" x14ac:dyDescent="0.25">
      <c r="A501" s="13"/>
      <c r="B501" s="13"/>
      <c r="C501" s="13"/>
      <c r="D501" s="12"/>
      <c r="E501" s="12"/>
      <c r="F501" s="13"/>
      <c r="G501" s="13"/>
      <c r="H501" s="13"/>
      <c r="I501" s="14"/>
      <c r="J501" s="13"/>
      <c r="K501" s="13"/>
    </row>
    <row r="502" spans="1:11" ht="15" customHeight="1" x14ac:dyDescent="0.25">
      <c r="A502" s="13"/>
      <c r="B502" s="13"/>
      <c r="C502" s="13"/>
      <c r="D502" s="12"/>
      <c r="E502" s="12"/>
      <c r="F502" s="13"/>
      <c r="G502" s="13"/>
      <c r="H502" s="13"/>
      <c r="I502" s="14"/>
      <c r="J502" s="13"/>
      <c r="K502" s="13"/>
    </row>
    <row r="503" spans="1:11" ht="15" customHeight="1" x14ac:dyDescent="0.25">
      <c r="A503" s="13"/>
      <c r="B503" s="13"/>
      <c r="C503" s="13"/>
      <c r="D503" s="12"/>
      <c r="E503" s="12"/>
      <c r="F503" s="13"/>
      <c r="G503" s="13"/>
      <c r="H503" s="13"/>
      <c r="I503" s="14"/>
      <c r="J503" s="13"/>
      <c r="K503" s="13"/>
    </row>
    <row r="504" spans="1:11" ht="15" customHeight="1" x14ac:dyDescent="0.25">
      <c r="A504" s="13"/>
      <c r="B504" s="13"/>
      <c r="C504" s="13"/>
      <c r="D504" s="12"/>
      <c r="E504" s="12"/>
      <c r="F504" s="13"/>
      <c r="G504" s="13"/>
      <c r="H504" s="13"/>
      <c r="I504" s="14"/>
      <c r="J504" s="13"/>
      <c r="K504" s="13"/>
    </row>
    <row r="505" spans="1:11" ht="15" customHeight="1" x14ac:dyDescent="0.25">
      <c r="A505" s="13"/>
      <c r="B505" s="13"/>
      <c r="C505" s="13"/>
      <c r="D505" s="12"/>
      <c r="E505" s="12"/>
      <c r="F505" s="13"/>
      <c r="G505" s="13"/>
      <c r="H505" s="13"/>
      <c r="I505" s="14"/>
      <c r="J505" s="13"/>
      <c r="K505" s="13"/>
    </row>
    <row r="506" spans="1:11" ht="15" customHeight="1" x14ac:dyDescent="0.25">
      <c r="A506" s="13"/>
      <c r="B506" s="13"/>
      <c r="C506" s="13"/>
      <c r="D506" s="12"/>
      <c r="E506" s="12"/>
      <c r="F506" s="13"/>
      <c r="G506" s="13"/>
      <c r="H506" s="13"/>
      <c r="I506" s="14"/>
      <c r="J506" s="13"/>
      <c r="K506" s="13"/>
    </row>
    <row r="507" spans="1:11" ht="15" customHeight="1" x14ac:dyDescent="0.25">
      <c r="A507" s="13"/>
      <c r="B507" s="13"/>
      <c r="C507" s="13"/>
      <c r="D507" s="12"/>
      <c r="E507" s="12"/>
      <c r="F507" s="13"/>
      <c r="G507" s="13"/>
      <c r="H507" s="13"/>
      <c r="I507" s="14"/>
      <c r="J507" s="13"/>
      <c r="K507" s="13"/>
    </row>
    <row r="508" spans="1:11" ht="15" customHeight="1" x14ac:dyDescent="0.25">
      <c r="A508" s="13"/>
      <c r="B508" s="13"/>
      <c r="C508" s="13"/>
      <c r="D508" s="12"/>
      <c r="E508" s="12"/>
      <c r="F508" s="13"/>
      <c r="G508" s="13"/>
      <c r="H508" s="13"/>
      <c r="I508" s="14"/>
      <c r="J508" s="13"/>
      <c r="K508" s="13"/>
    </row>
    <row r="509" spans="1:11" ht="15" customHeight="1" x14ac:dyDescent="0.25">
      <c r="A509" s="13"/>
      <c r="B509" s="13"/>
      <c r="C509" s="13"/>
      <c r="D509" s="12"/>
      <c r="E509" s="12"/>
      <c r="F509" s="13"/>
      <c r="G509" s="13"/>
      <c r="H509" s="13"/>
      <c r="I509" s="14"/>
      <c r="J509" s="13"/>
      <c r="K509" s="13"/>
    </row>
    <row r="510" spans="1:11" ht="15" customHeight="1" x14ac:dyDescent="0.25">
      <c r="A510" s="13"/>
      <c r="B510" s="13"/>
      <c r="C510" s="13"/>
      <c r="D510" s="12"/>
      <c r="E510" s="12"/>
      <c r="F510" s="13"/>
      <c r="G510" s="13"/>
      <c r="H510" s="13"/>
      <c r="I510" s="14"/>
      <c r="J510" s="13"/>
      <c r="K510" s="13"/>
    </row>
    <row r="511" spans="1:11" ht="15" customHeight="1" x14ac:dyDescent="0.25">
      <c r="A511" s="13"/>
      <c r="B511" s="13"/>
      <c r="C511" s="13"/>
      <c r="D511" s="12"/>
      <c r="E511" s="12"/>
      <c r="F511" s="13"/>
      <c r="G511" s="13"/>
      <c r="H511" s="13"/>
      <c r="I511" s="14"/>
      <c r="J511" s="13"/>
      <c r="K511" s="13"/>
    </row>
    <row r="512" spans="1:11" ht="15" customHeight="1" x14ac:dyDescent="0.25">
      <c r="A512" s="13"/>
      <c r="B512" s="13"/>
      <c r="C512" s="13"/>
      <c r="D512" s="12"/>
      <c r="E512" s="12"/>
      <c r="F512" s="13"/>
      <c r="G512" s="13"/>
      <c r="H512" s="13"/>
      <c r="I512" s="14"/>
      <c r="J512" s="13"/>
      <c r="K512" s="13"/>
    </row>
    <row r="513" spans="1:11" ht="15" customHeight="1" x14ac:dyDescent="0.25">
      <c r="A513" s="13"/>
      <c r="B513" s="13"/>
      <c r="C513" s="13"/>
      <c r="D513" s="12"/>
      <c r="E513" s="12"/>
      <c r="F513" s="13"/>
      <c r="G513" s="13"/>
      <c r="H513" s="13"/>
      <c r="I513" s="14"/>
      <c r="J513" s="13"/>
      <c r="K513" s="13"/>
    </row>
    <row r="514" spans="1:11" ht="15" customHeight="1" x14ac:dyDescent="0.25">
      <c r="A514" s="13"/>
      <c r="B514" s="13"/>
      <c r="C514" s="13"/>
      <c r="D514" s="12"/>
      <c r="E514" s="12"/>
      <c r="F514" s="13"/>
      <c r="G514" s="13"/>
      <c r="H514" s="13"/>
      <c r="I514" s="14"/>
      <c r="J514" s="13"/>
      <c r="K514" s="13"/>
    </row>
    <row r="515" spans="1:11" ht="15" customHeight="1" x14ac:dyDescent="0.25">
      <c r="A515" s="13"/>
      <c r="B515" s="13"/>
      <c r="C515" s="13"/>
      <c r="D515" s="12"/>
      <c r="E515" s="12"/>
      <c r="F515" s="13"/>
      <c r="G515" s="13"/>
      <c r="H515" s="13"/>
      <c r="I515" s="14"/>
      <c r="J515" s="13"/>
      <c r="K515" s="13"/>
    </row>
    <row r="516" spans="1:11" ht="15" customHeight="1" x14ac:dyDescent="0.25">
      <c r="A516" s="13"/>
      <c r="B516" s="13"/>
      <c r="C516" s="13"/>
      <c r="D516" s="12"/>
      <c r="E516" s="12"/>
      <c r="F516" s="13"/>
      <c r="G516" s="13"/>
      <c r="H516" s="13"/>
      <c r="I516" s="14"/>
      <c r="J516" s="13"/>
      <c r="K516" s="13"/>
    </row>
    <row r="517" spans="1:11" ht="15" customHeight="1" x14ac:dyDescent="0.25">
      <c r="A517" s="13"/>
      <c r="B517" s="13"/>
      <c r="C517" s="13"/>
      <c r="D517" s="12"/>
      <c r="E517" s="12"/>
      <c r="F517" s="13"/>
      <c r="G517" s="13"/>
      <c r="H517" s="13"/>
      <c r="I517" s="14"/>
      <c r="J517" s="13"/>
      <c r="K517" s="13"/>
    </row>
    <row r="518" spans="1:11" ht="15" customHeight="1" x14ac:dyDescent="0.25">
      <c r="A518" s="13"/>
      <c r="B518" s="13"/>
      <c r="C518" s="13"/>
      <c r="D518" s="12"/>
      <c r="E518" s="12"/>
      <c r="F518" s="13"/>
      <c r="G518" s="13"/>
      <c r="H518" s="13"/>
      <c r="I518" s="14"/>
      <c r="J518" s="13"/>
      <c r="K518" s="13"/>
    </row>
    <row r="519" spans="1:11" ht="15" customHeight="1" x14ac:dyDescent="0.25">
      <c r="A519" s="13"/>
      <c r="B519" s="13"/>
      <c r="C519" s="13"/>
      <c r="D519" s="12"/>
      <c r="E519" s="12"/>
      <c r="F519" s="13"/>
      <c r="G519" s="13"/>
      <c r="H519" s="13"/>
      <c r="I519" s="14"/>
      <c r="J519" s="13"/>
      <c r="K519" s="13"/>
    </row>
    <row r="520" spans="1:11" ht="15" customHeight="1" x14ac:dyDescent="0.25">
      <c r="A520" s="13"/>
      <c r="B520" s="13"/>
      <c r="C520" s="13"/>
      <c r="D520" s="12"/>
      <c r="E520" s="12"/>
      <c r="F520" s="13"/>
      <c r="G520" s="13"/>
      <c r="H520" s="13"/>
      <c r="I520" s="14"/>
      <c r="J520" s="13"/>
      <c r="K520" s="13"/>
    </row>
    <row r="521" spans="1:11" ht="15" customHeight="1" x14ac:dyDescent="0.25">
      <c r="A521" s="13"/>
      <c r="B521" s="13"/>
      <c r="C521" s="13"/>
      <c r="D521" s="12"/>
      <c r="E521" s="12"/>
      <c r="F521" s="13"/>
      <c r="G521" s="13"/>
      <c r="H521" s="13"/>
      <c r="I521" s="14"/>
      <c r="J521" s="13"/>
      <c r="K521" s="13"/>
    </row>
    <row r="522" spans="1:11" ht="15" customHeight="1" x14ac:dyDescent="0.25">
      <c r="A522" s="13"/>
      <c r="B522" s="13"/>
      <c r="C522" s="13"/>
      <c r="D522" s="12"/>
      <c r="E522" s="12"/>
      <c r="F522" s="13"/>
      <c r="G522" s="13"/>
      <c r="H522" s="13"/>
      <c r="I522" s="14"/>
      <c r="J522" s="13"/>
      <c r="K522" s="13"/>
    </row>
    <row r="523" spans="1:11" ht="15" customHeight="1" x14ac:dyDescent="0.25">
      <c r="A523" s="13"/>
      <c r="B523" s="13"/>
      <c r="C523" s="13"/>
      <c r="D523" s="12"/>
      <c r="E523" s="12"/>
      <c r="F523" s="13"/>
      <c r="G523" s="13"/>
      <c r="H523" s="13"/>
      <c r="I523" s="14"/>
      <c r="J523" s="13"/>
      <c r="K523" s="13"/>
    </row>
    <row r="524" spans="1:11" ht="15" customHeight="1" x14ac:dyDescent="0.25">
      <c r="A524" s="13"/>
      <c r="B524" s="13"/>
      <c r="C524" s="13"/>
      <c r="D524" s="12"/>
      <c r="E524" s="12"/>
      <c r="F524" s="13"/>
      <c r="G524" s="13"/>
      <c r="H524" s="13"/>
      <c r="I524" s="14"/>
      <c r="J524" s="13"/>
      <c r="K524" s="13"/>
    </row>
    <row r="525" spans="1:11" ht="15" customHeight="1" x14ac:dyDescent="0.25">
      <c r="A525" s="13"/>
      <c r="B525" s="13"/>
      <c r="C525" s="13"/>
      <c r="D525" s="12"/>
      <c r="E525" s="12"/>
      <c r="F525" s="13"/>
      <c r="G525" s="13"/>
      <c r="H525" s="13"/>
      <c r="I525" s="14"/>
      <c r="J525" s="13"/>
      <c r="K525" s="13"/>
    </row>
    <row r="526" spans="1:11" ht="15" customHeight="1" x14ac:dyDescent="0.25">
      <c r="A526" s="13"/>
      <c r="B526" s="13"/>
      <c r="C526" s="13"/>
      <c r="D526" s="12"/>
      <c r="E526" s="12"/>
      <c r="F526" s="13"/>
      <c r="G526" s="13"/>
      <c r="H526" s="13"/>
      <c r="I526" s="14"/>
      <c r="J526" s="13"/>
      <c r="K526" s="13"/>
    </row>
    <row r="527" spans="1:11" ht="15" customHeight="1" x14ac:dyDescent="0.25">
      <c r="A527" s="13"/>
      <c r="B527" s="13"/>
      <c r="C527" s="13"/>
      <c r="D527" s="12"/>
      <c r="E527" s="12"/>
      <c r="F527" s="13"/>
      <c r="G527" s="13"/>
      <c r="H527" s="13"/>
      <c r="I527" s="14"/>
      <c r="J527" s="13"/>
      <c r="K527" s="13"/>
    </row>
    <row r="528" spans="1:11" ht="15" customHeight="1" x14ac:dyDescent="0.25">
      <c r="A528" s="13"/>
      <c r="B528" s="13"/>
      <c r="C528" s="13"/>
      <c r="D528" s="12"/>
      <c r="E528" s="12"/>
      <c r="F528" s="13"/>
      <c r="G528" s="13"/>
      <c r="H528" s="13"/>
      <c r="I528" s="14"/>
      <c r="J528" s="13"/>
      <c r="K528" s="13"/>
    </row>
    <row r="529" spans="1:11" ht="15" customHeight="1" x14ac:dyDescent="0.25">
      <c r="A529" s="13"/>
      <c r="B529" s="13"/>
      <c r="C529" s="13"/>
      <c r="D529" s="12"/>
      <c r="E529" s="12"/>
      <c r="F529" s="13"/>
      <c r="G529" s="13"/>
      <c r="H529" s="13"/>
      <c r="I529" s="14"/>
      <c r="J529" s="13"/>
      <c r="K529" s="13"/>
    </row>
    <row r="530" spans="1:11" ht="15" customHeight="1" x14ac:dyDescent="0.25">
      <c r="A530" s="13"/>
      <c r="B530" s="13"/>
      <c r="C530" s="13"/>
      <c r="D530" s="12"/>
      <c r="E530" s="12"/>
      <c r="F530" s="13"/>
      <c r="G530" s="13"/>
      <c r="H530" s="13"/>
      <c r="I530" s="14"/>
      <c r="J530" s="13"/>
      <c r="K530" s="13"/>
    </row>
    <row r="531" spans="1:11" ht="15" customHeight="1" x14ac:dyDescent="0.25">
      <c r="A531" s="13"/>
      <c r="B531" s="13"/>
      <c r="C531" s="13"/>
      <c r="D531" s="12"/>
      <c r="E531" s="12"/>
      <c r="F531" s="13"/>
      <c r="G531" s="13"/>
      <c r="H531" s="13"/>
      <c r="I531" s="14"/>
      <c r="J531" s="13"/>
      <c r="K531" s="13"/>
    </row>
    <row r="532" spans="1:11" ht="15" customHeight="1" x14ac:dyDescent="0.25">
      <c r="A532" s="13"/>
      <c r="B532" s="13"/>
      <c r="C532" s="13"/>
      <c r="D532" s="12"/>
      <c r="E532" s="12"/>
      <c r="F532" s="13"/>
      <c r="G532" s="13"/>
      <c r="H532" s="13"/>
      <c r="I532" s="14"/>
      <c r="J532" s="13"/>
      <c r="K532" s="13"/>
    </row>
    <row r="533" spans="1:11" ht="15" customHeight="1" x14ac:dyDescent="0.25">
      <c r="A533" s="13"/>
      <c r="B533" s="13"/>
      <c r="C533" s="13"/>
      <c r="D533" s="12"/>
      <c r="E533" s="12"/>
      <c r="F533" s="13"/>
      <c r="G533" s="13"/>
      <c r="H533" s="13"/>
      <c r="I533" s="14"/>
      <c r="J533" s="13"/>
      <c r="K533" s="13"/>
    </row>
    <row r="534" spans="1:11" ht="15" customHeight="1" x14ac:dyDescent="0.25">
      <c r="A534" s="13"/>
      <c r="B534" s="13"/>
      <c r="C534" s="13"/>
      <c r="D534" s="12"/>
      <c r="E534" s="12"/>
      <c r="F534" s="13"/>
      <c r="G534" s="13"/>
      <c r="H534" s="13"/>
      <c r="I534" s="14"/>
      <c r="J534" s="13"/>
      <c r="K534" s="13"/>
    </row>
    <row r="535" spans="1:11" ht="15" customHeight="1" x14ac:dyDescent="0.25">
      <c r="A535" s="13"/>
      <c r="B535" s="13"/>
      <c r="C535" s="13"/>
      <c r="D535" s="12"/>
      <c r="E535" s="12"/>
      <c r="F535" s="13"/>
      <c r="G535" s="13"/>
      <c r="H535" s="13"/>
      <c r="I535" s="14"/>
      <c r="J535" s="13"/>
      <c r="K535" s="13"/>
    </row>
    <row r="536" spans="1:11" ht="15" customHeight="1" x14ac:dyDescent="0.25">
      <c r="A536" s="13"/>
      <c r="B536" s="13"/>
      <c r="C536" s="13"/>
      <c r="D536" s="12"/>
      <c r="E536" s="12"/>
      <c r="F536" s="13"/>
      <c r="G536" s="13"/>
      <c r="H536" s="13"/>
      <c r="I536" s="14"/>
      <c r="J536" s="13"/>
      <c r="K536" s="13"/>
    </row>
    <row r="537" spans="1:11" ht="15" customHeight="1" x14ac:dyDescent="0.25">
      <c r="A537" s="13"/>
      <c r="B537" s="13"/>
      <c r="C537" s="13"/>
      <c r="D537" s="12"/>
      <c r="E537" s="12"/>
      <c r="F537" s="13"/>
      <c r="G537" s="13"/>
      <c r="H537" s="13"/>
      <c r="I537" s="14"/>
      <c r="J537" s="13"/>
      <c r="K537" s="13"/>
    </row>
    <row r="538" spans="1:11" ht="15" customHeight="1" x14ac:dyDescent="0.25">
      <c r="A538" s="13"/>
      <c r="B538" s="13"/>
      <c r="C538" s="13"/>
      <c r="D538" s="12"/>
      <c r="E538" s="12"/>
      <c r="F538" s="13"/>
      <c r="G538" s="13"/>
      <c r="H538" s="13"/>
      <c r="I538" s="14"/>
      <c r="J538" s="13"/>
      <c r="K538" s="13"/>
    </row>
    <row r="539" spans="1:11" ht="15" customHeight="1" x14ac:dyDescent="0.25">
      <c r="A539" s="13"/>
      <c r="B539" s="13"/>
      <c r="C539" s="13"/>
      <c r="D539" s="12"/>
      <c r="E539" s="12"/>
      <c r="F539" s="13"/>
      <c r="G539" s="13"/>
      <c r="H539" s="13"/>
      <c r="I539" s="14"/>
      <c r="J539" s="13"/>
      <c r="K539" s="13"/>
    </row>
    <row r="540" spans="1:11" ht="15" customHeight="1" x14ac:dyDescent="0.25">
      <c r="A540" s="13"/>
      <c r="B540" s="13"/>
      <c r="C540" s="13"/>
      <c r="D540" s="12"/>
      <c r="E540" s="12"/>
      <c r="F540" s="13"/>
      <c r="G540" s="13"/>
      <c r="H540" s="13"/>
      <c r="I540" s="14"/>
      <c r="J540" s="13"/>
      <c r="K540" s="13"/>
    </row>
    <row r="541" spans="1:11" ht="15" customHeight="1" x14ac:dyDescent="0.25">
      <c r="A541" s="13"/>
      <c r="B541" s="13"/>
      <c r="C541" s="13"/>
      <c r="D541" s="12"/>
      <c r="E541" s="12"/>
      <c r="F541" s="13"/>
      <c r="G541" s="13"/>
      <c r="H541" s="13"/>
      <c r="I541" s="14"/>
      <c r="J541" s="13"/>
      <c r="K541" s="13"/>
    </row>
    <row r="542" spans="1:11" ht="15" customHeight="1" x14ac:dyDescent="0.25">
      <c r="A542" s="13"/>
      <c r="B542" s="13"/>
      <c r="C542" s="13"/>
      <c r="D542" s="12"/>
      <c r="E542" s="12"/>
      <c r="F542" s="13"/>
      <c r="G542" s="13"/>
      <c r="H542" s="13"/>
      <c r="I542" s="14"/>
      <c r="J542" s="13"/>
      <c r="K542" s="13"/>
    </row>
    <row r="543" spans="1:11" ht="15" customHeight="1" x14ac:dyDescent="0.25">
      <c r="A543" s="13"/>
      <c r="B543" s="13"/>
      <c r="C543" s="13"/>
      <c r="D543" s="12"/>
      <c r="E543" s="12"/>
      <c r="F543" s="13"/>
      <c r="G543" s="13"/>
      <c r="H543" s="13"/>
      <c r="I543" s="14"/>
      <c r="J543" s="13"/>
      <c r="K543" s="13"/>
    </row>
    <row r="544" spans="1:11" ht="15" customHeight="1" x14ac:dyDescent="0.25">
      <c r="A544" s="13"/>
      <c r="B544" s="13"/>
      <c r="C544" s="13"/>
      <c r="D544" s="12"/>
      <c r="E544" s="12"/>
      <c r="F544" s="13"/>
      <c r="G544" s="13"/>
      <c r="H544" s="13"/>
      <c r="I544" s="14"/>
      <c r="J544" s="13"/>
      <c r="K544" s="13"/>
    </row>
    <row r="545" spans="1:11" ht="15" customHeight="1" x14ac:dyDescent="0.25">
      <c r="A545" s="13"/>
      <c r="B545" s="13"/>
      <c r="C545" s="13"/>
      <c r="D545" s="12"/>
      <c r="E545" s="12"/>
      <c r="F545" s="13"/>
      <c r="G545" s="13"/>
      <c r="H545" s="13"/>
      <c r="I545" s="14"/>
      <c r="J545" s="13"/>
      <c r="K545" s="13"/>
    </row>
    <row r="546" spans="1:11" ht="15" customHeight="1" x14ac:dyDescent="0.25">
      <c r="A546" s="13"/>
      <c r="B546" s="13"/>
      <c r="C546" s="13"/>
      <c r="D546" s="12"/>
      <c r="E546" s="12"/>
      <c r="F546" s="13"/>
      <c r="G546" s="13"/>
      <c r="H546" s="13"/>
      <c r="I546" s="14"/>
      <c r="J546" s="13"/>
      <c r="K546" s="13"/>
    </row>
    <row r="547" spans="1:11" ht="15" customHeight="1" x14ac:dyDescent="0.25">
      <c r="A547" s="13"/>
      <c r="B547" s="13"/>
      <c r="C547" s="13"/>
      <c r="D547" s="12"/>
      <c r="E547" s="12"/>
      <c r="F547" s="13"/>
      <c r="G547" s="13"/>
      <c r="H547" s="13"/>
      <c r="I547" s="14"/>
      <c r="J547" s="13"/>
      <c r="K547" s="13"/>
    </row>
    <row r="548" spans="1:11" ht="15" customHeight="1" x14ac:dyDescent="0.25">
      <c r="A548" s="13"/>
      <c r="B548" s="13"/>
      <c r="C548" s="13"/>
      <c r="D548" s="12"/>
      <c r="E548" s="12"/>
      <c r="F548" s="13"/>
      <c r="G548" s="13"/>
      <c r="H548" s="13"/>
      <c r="I548" s="14"/>
      <c r="J548" s="13"/>
      <c r="K548" s="13"/>
    </row>
    <row r="549" spans="1:11" ht="15" customHeight="1" x14ac:dyDescent="0.25">
      <c r="A549" s="13"/>
      <c r="B549" s="13"/>
      <c r="C549" s="13"/>
      <c r="D549" s="12"/>
      <c r="E549" s="12"/>
      <c r="F549" s="13"/>
      <c r="G549" s="13"/>
      <c r="H549" s="13"/>
      <c r="I549" s="14"/>
      <c r="J549" s="13"/>
      <c r="K549" s="13"/>
    </row>
    <row r="550" spans="1:11" ht="15" customHeight="1" x14ac:dyDescent="0.25">
      <c r="A550" s="13"/>
      <c r="B550" s="13"/>
      <c r="C550" s="13"/>
      <c r="D550" s="12"/>
      <c r="E550" s="12"/>
      <c r="F550" s="13"/>
      <c r="G550" s="13"/>
      <c r="H550" s="13"/>
      <c r="I550" s="14"/>
      <c r="J550" s="13"/>
      <c r="K550" s="13"/>
    </row>
    <row r="551" spans="1:11" ht="15" customHeight="1" x14ac:dyDescent="0.25">
      <c r="A551" s="13"/>
      <c r="B551" s="13"/>
      <c r="C551" s="13"/>
      <c r="D551" s="12"/>
      <c r="E551" s="12"/>
      <c r="F551" s="13"/>
      <c r="G551" s="13"/>
      <c r="H551" s="13"/>
      <c r="I551" s="14"/>
      <c r="J551" s="13"/>
      <c r="K551" s="13"/>
    </row>
    <row r="552" spans="1:11" ht="15" customHeight="1" x14ac:dyDescent="0.25">
      <c r="A552" s="13"/>
      <c r="B552" s="13"/>
      <c r="C552" s="13"/>
      <c r="D552" s="12"/>
      <c r="E552" s="12"/>
      <c r="F552" s="13"/>
      <c r="G552" s="13"/>
      <c r="H552" s="13"/>
      <c r="I552" s="14"/>
      <c r="J552" s="13"/>
      <c r="K552" s="13"/>
    </row>
    <row r="553" spans="1:11" ht="15" customHeight="1" x14ac:dyDescent="0.25">
      <c r="A553" s="13"/>
      <c r="B553" s="13"/>
      <c r="C553" s="13"/>
      <c r="D553" s="12"/>
      <c r="E553" s="12"/>
      <c r="F553" s="13"/>
      <c r="G553" s="13"/>
      <c r="H553" s="13"/>
      <c r="I553" s="14"/>
      <c r="J553" s="13"/>
      <c r="K553" s="13"/>
    </row>
    <row r="554" spans="1:11" ht="15" customHeight="1" x14ac:dyDescent="0.25">
      <c r="A554" s="13"/>
      <c r="B554" s="13"/>
      <c r="C554" s="13"/>
      <c r="D554" s="12"/>
      <c r="E554" s="12"/>
      <c r="F554" s="13"/>
      <c r="G554" s="13"/>
      <c r="H554" s="13"/>
      <c r="I554" s="14"/>
      <c r="J554" s="13"/>
      <c r="K554" s="13"/>
    </row>
    <row r="555" spans="1:11" ht="15" customHeight="1" x14ac:dyDescent="0.25">
      <c r="A555" s="13"/>
      <c r="B555" s="13"/>
      <c r="C555" s="13"/>
      <c r="D555" s="12"/>
      <c r="E555" s="12"/>
      <c r="F555" s="13"/>
      <c r="G555" s="13"/>
      <c r="H555" s="13"/>
      <c r="I555" s="14"/>
      <c r="J555" s="13"/>
      <c r="K555" s="13"/>
    </row>
    <row r="556" spans="1:11" ht="15" customHeight="1" x14ac:dyDescent="0.25">
      <c r="A556" s="13"/>
      <c r="B556" s="13"/>
      <c r="C556" s="13"/>
      <c r="D556" s="12"/>
      <c r="E556" s="12"/>
      <c r="F556" s="13"/>
      <c r="G556" s="13"/>
      <c r="H556" s="13"/>
      <c r="I556" s="14"/>
      <c r="J556" s="13"/>
      <c r="K556" s="13"/>
    </row>
    <row r="557" spans="1:11" ht="15" customHeight="1" x14ac:dyDescent="0.25">
      <c r="A557" s="13"/>
      <c r="B557" s="13"/>
      <c r="C557" s="13"/>
      <c r="D557" s="12"/>
      <c r="E557" s="12"/>
      <c r="F557" s="13"/>
      <c r="G557" s="13"/>
      <c r="H557" s="13"/>
      <c r="I557" s="14"/>
      <c r="J557" s="13"/>
      <c r="K557" s="13"/>
    </row>
    <row r="558" spans="1:11" ht="15" customHeight="1" x14ac:dyDescent="0.25">
      <c r="A558" s="13"/>
      <c r="B558" s="13"/>
      <c r="C558" s="13"/>
      <c r="D558" s="12"/>
      <c r="E558" s="12"/>
      <c r="F558" s="13"/>
      <c r="G558" s="13"/>
      <c r="H558" s="13"/>
      <c r="I558" s="14"/>
      <c r="J558" s="13"/>
      <c r="K558" s="13"/>
    </row>
    <row r="559" spans="1:11" ht="15" customHeight="1" x14ac:dyDescent="0.25">
      <c r="A559" s="13"/>
      <c r="B559" s="13"/>
      <c r="C559" s="13"/>
      <c r="D559" s="12"/>
      <c r="E559" s="12"/>
      <c r="F559" s="13"/>
      <c r="G559" s="13"/>
      <c r="H559" s="13"/>
      <c r="I559" s="14"/>
      <c r="J559" s="13"/>
      <c r="K559" s="13"/>
    </row>
    <row r="560" spans="1:11" ht="15" customHeight="1" x14ac:dyDescent="0.25">
      <c r="A560" s="13"/>
      <c r="B560" s="13"/>
      <c r="C560" s="13"/>
      <c r="D560" s="12"/>
      <c r="E560" s="12"/>
      <c r="F560" s="13"/>
      <c r="G560" s="13"/>
      <c r="H560" s="13"/>
      <c r="I560" s="14"/>
      <c r="J560" s="13"/>
      <c r="K560" s="13"/>
    </row>
    <row r="561" spans="1:11" ht="15" customHeight="1" x14ac:dyDescent="0.25">
      <c r="A561" s="13"/>
      <c r="B561" s="13"/>
      <c r="C561" s="13"/>
      <c r="D561" s="12"/>
      <c r="E561" s="12"/>
      <c r="F561" s="13"/>
      <c r="G561" s="13"/>
      <c r="H561" s="13"/>
      <c r="I561" s="14"/>
      <c r="J561" s="13"/>
      <c r="K561" s="13"/>
    </row>
    <row r="562" spans="1:11" ht="15" customHeight="1" x14ac:dyDescent="0.25">
      <c r="A562" s="13"/>
      <c r="B562" s="13"/>
      <c r="C562" s="13"/>
      <c r="D562" s="12"/>
      <c r="E562" s="12"/>
      <c r="F562" s="13"/>
      <c r="G562" s="13"/>
      <c r="H562" s="13"/>
      <c r="I562" s="14"/>
      <c r="J562" s="13"/>
      <c r="K562" s="13"/>
    </row>
    <row r="563" spans="1:11" ht="15" customHeight="1" x14ac:dyDescent="0.25">
      <c r="A563" s="13"/>
      <c r="B563" s="13"/>
      <c r="C563" s="13"/>
      <c r="D563" s="12"/>
      <c r="E563" s="12"/>
      <c r="F563" s="13"/>
      <c r="G563" s="13"/>
      <c r="H563" s="13"/>
      <c r="I563" s="14"/>
      <c r="J563" s="13"/>
      <c r="K563" s="13"/>
    </row>
    <row r="564" spans="1:11" ht="15" customHeight="1" x14ac:dyDescent="0.25">
      <c r="A564" s="13"/>
      <c r="B564" s="13"/>
      <c r="C564" s="13"/>
      <c r="D564" s="12"/>
      <c r="E564" s="12"/>
      <c r="F564" s="13"/>
      <c r="G564" s="13"/>
      <c r="H564" s="13"/>
      <c r="I564" s="14"/>
      <c r="J564" s="13"/>
      <c r="K564" s="13"/>
    </row>
    <row r="565" spans="1:11" ht="15" customHeight="1" x14ac:dyDescent="0.25">
      <c r="A565" s="13"/>
      <c r="B565" s="13"/>
      <c r="C565" s="13"/>
      <c r="D565" s="12"/>
      <c r="E565" s="12"/>
      <c r="F565" s="13"/>
      <c r="G565" s="13"/>
      <c r="H565" s="13"/>
      <c r="I565" s="14"/>
      <c r="J565" s="13"/>
      <c r="K565" s="13"/>
    </row>
    <row r="566" spans="1:11" ht="15" customHeight="1" x14ac:dyDescent="0.25">
      <c r="A566" s="13"/>
      <c r="B566" s="13"/>
      <c r="C566" s="13"/>
      <c r="D566" s="12"/>
      <c r="E566" s="12"/>
      <c r="F566" s="13"/>
      <c r="G566" s="13"/>
      <c r="H566" s="13"/>
      <c r="I566" s="14"/>
      <c r="J566" s="13"/>
      <c r="K566" s="13"/>
    </row>
    <row r="567" spans="1:11" ht="15" customHeight="1" x14ac:dyDescent="0.25">
      <c r="A567" s="13"/>
      <c r="B567" s="13"/>
      <c r="C567" s="13"/>
      <c r="D567" s="12"/>
      <c r="E567" s="12"/>
      <c r="F567" s="13"/>
      <c r="G567" s="13"/>
      <c r="H567" s="13"/>
      <c r="I567" s="14"/>
      <c r="J567" s="13"/>
      <c r="K567" s="13"/>
    </row>
    <row r="568" spans="1:11" ht="15" customHeight="1" x14ac:dyDescent="0.25">
      <c r="A568" s="13"/>
      <c r="B568" s="13"/>
      <c r="C568" s="13"/>
      <c r="D568" s="12"/>
      <c r="E568" s="12"/>
      <c r="F568" s="13"/>
      <c r="G568" s="13"/>
      <c r="H568" s="13"/>
      <c r="I568" s="14"/>
      <c r="J568" s="13"/>
      <c r="K568" s="13"/>
    </row>
    <row r="569" spans="1:11" ht="15" customHeight="1" x14ac:dyDescent="0.25">
      <c r="A569" s="13"/>
      <c r="B569" s="13"/>
      <c r="C569" s="13"/>
      <c r="D569" s="12"/>
      <c r="E569" s="12"/>
      <c r="F569" s="13"/>
      <c r="G569" s="13"/>
      <c r="H569" s="13"/>
      <c r="I569" s="14"/>
      <c r="J569" s="13"/>
      <c r="K569" s="13"/>
    </row>
    <row r="570" spans="1:11" ht="15" customHeight="1" x14ac:dyDescent="0.25">
      <c r="A570" s="13"/>
      <c r="B570" s="13"/>
      <c r="C570" s="13"/>
      <c r="D570" s="12"/>
      <c r="E570" s="12"/>
      <c r="F570" s="13"/>
      <c r="G570" s="13"/>
      <c r="H570" s="13"/>
      <c r="I570" s="14"/>
      <c r="J570" s="13"/>
      <c r="K570" s="13"/>
    </row>
    <row r="571" spans="1:11" ht="15" customHeight="1" x14ac:dyDescent="0.25">
      <c r="A571" s="13"/>
      <c r="B571" s="13"/>
      <c r="C571" s="13"/>
      <c r="D571" s="12"/>
      <c r="E571" s="12"/>
      <c r="F571" s="13"/>
      <c r="G571" s="13"/>
      <c r="H571" s="13"/>
      <c r="I571" s="14"/>
      <c r="J571" s="13"/>
      <c r="K571" s="13"/>
    </row>
    <row r="572" spans="1:11" ht="15" customHeight="1" x14ac:dyDescent="0.25">
      <c r="A572" s="13"/>
      <c r="B572" s="13"/>
      <c r="C572" s="13"/>
      <c r="D572" s="12"/>
      <c r="E572" s="12"/>
      <c r="F572" s="13"/>
      <c r="G572" s="13"/>
      <c r="H572" s="13"/>
      <c r="I572" s="14"/>
      <c r="J572" s="13"/>
      <c r="K572" s="13"/>
    </row>
    <row r="573" spans="1:11" ht="15" customHeight="1" x14ac:dyDescent="0.25">
      <c r="A573" s="13"/>
      <c r="B573" s="13"/>
      <c r="C573" s="13"/>
      <c r="D573" s="12"/>
      <c r="E573" s="12"/>
      <c r="F573" s="13"/>
      <c r="G573" s="13"/>
      <c r="H573" s="13"/>
      <c r="I573" s="14"/>
      <c r="J573" s="13"/>
      <c r="K573" s="13"/>
    </row>
    <row r="574" spans="1:11" ht="15" customHeight="1" x14ac:dyDescent="0.25">
      <c r="A574" s="13"/>
      <c r="B574" s="13"/>
      <c r="C574" s="13"/>
      <c r="D574" s="12"/>
      <c r="E574" s="12"/>
      <c r="F574" s="13"/>
      <c r="G574" s="13"/>
      <c r="H574" s="13"/>
      <c r="I574" s="14"/>
      <c r="J574" s="13"/>
      <c r="K574" s="13"/>
    </row>
    <row r="575" spans="1:11" ht="15" customHeight="1" x14ac:dyDescent="0.25">
      <c r="A575" s="13"/>
      <c r="B575" s="13"/>
      <c r="C575" s="13"/>
      <c r="D575" s="12"/>
      <c r="E575" s="12"/>
      <c r="F575" s="13"/>
      <c r="G575" s="13"/>
      <c r="H575" s="13"/>
      <c r="I575" s="14"/>
      <c r="J575" s="13"/>
      <c r="K575" s="13"/>
    </row>
    <row r="576" spans="1:11" ht="15" customHeight="1" x14ac:dyDescent="0.25">
      <c r="A576" s="13"/>
      <c r="B576" s="13"/>
      <c r="C576" s="13"/>
      <c r="D576" s="12"/>
      <c r="E576" s="12"/>
      <c r="F576" s="13"/>
      <c r="G576" s="13"/>
      <c r="H576" s="13"/>
      <c r="I576" s="14"/>
      <c r="J576" s="13"/>
      <c r="K576" s="13"/>
    </row>
    <row r="577" spans="1:11" ht="15" customHeight="1" x14ac:dyDescent="0.25">
      <c r="A577" s="13"/>
      <c r="B577" s="13"/>
      <c r="C577" s="13"/>
      <c r="D577" s="12"/>
      <c r="E577" s="12"/>
      <c r="F577" s="13"/>
      <c r="G577" s="13"/>
      <c r="H577" s="13"/>
      <c r="I577" s="14"/>
      <c r="J577" s="13"/>
      <c r="K577" s="13"/>
    </row>
    <row r="578" spans="1:11" ht="15" customHeight="1" x14ac:dyDescent="0.25">
      <c r="A578" s="13"/>
      <c r="B578" s="13"/>
      <c r="C578" s="13"/>
      <c r="D578" s="12"/>
      <c r="E578" s="12"/>
      <c r="F578" s="13"/>
      <c r="G578" s="13"/>
      <c r="H578" s="13"/>
      <c r="I578" s="14"/>
      <c r="J578" s="13"/>
      <c r="K578" s="13"/>
    </row>
    <row r="579" spans="1:11" ht="15" customHeight="1" x14ac:dyDescent="0.25">
      <c r="A579" s="13"/>
      <c r="B579" s="13"/>
      <c r="C579" s="13"/>
      <c r="D579" s="12"/>
      <c r="E579" s="12"/>
      <c r="F579" s="13"/>
      <c r="G579" s="13"/>
      <c r="H579" s="13"/>
      <c r="I579" s="14"/>
      <c r="J579" s="13"/>
      <c r="K579" s="13"/>
    </row>
    <row r="580" spans="1:11" ht="15" customHeight="1" x14ac:dyDescent="0.25">
      <c r="A580" s="13"/>
      <c r="B580" s="13"/>
      <c r="C580" s="13"/>
      <c r="D580" s="12"/>
      <c r="E580" s="12"/>
      <c r="F580" s="13"/>
      <c r="G580" s="13"/>
      <c r="H580" s="13"/>
      <c r="I580" s="14"/>
      <c r="J580" s="13"/>
      <c r="K580" s="13"/>
    </row>
    <row r="581" spans="1:11" ht="15" customHeight="1" x14ac:dyDescent="0.25">
      <c r="A581" s="13"/>
      <c r="B581" s="13"/>
      <c r="C581" s="13"/>
      <c r="D581" s="12"/>
      <c r="E581" s="12"/>
      <c r="F581" s="13"/>
      <c r="G581" s="13"/>
      <c r="H581" s="13"/>
      <c r="I581" s="14"/>
      <c r="J581" s="13"/>
      <c r="K581" s="13"/>
    </row>
    <row r="582" spans="1:11" ht="15" customHeight="1" x14ac:dyDescent="0.25">
      <c r="A582" s="13"/>
      <c r="B582" s="13"/>
      <c r="C582" s="13"/>
      <c r="D582" s="12"/>
      <c r="E582" s="12"/>
      <c r="F582" s="13"/>
      <c r="G582" s="13"/>
      <c r="H582" s="13"/>
      <c r="I582" s="14"/>
      <c r="J582" s="13"/>
      <c r="K582" s="13"/>
    </row>
    <row r="583" spans="1:11" ht="15" customHeight="1" x14ac:dyDescent="0.25">
      <c r="A583" s="13"/>
      <c r="B583" s="13"/>
      <c r="C583" s="13"/>
      <c r="D583" s="12"/>
      <c r="E583" s="12"/>
      <c r="F583" s="13"/>
      <c r="G583" s="13"/>
      <c r="H583" s="13"/>
      <c r="I583" s="14"/>
      <c r="J583" s="13"/>
      <c r="K583" s="13"/>
    </row>
    <row r="584" spans="1:11" ht="15" customHeight="1" x14ac:dyDescent="0.25">
      <c r="A584" s="13"/>
      <c r="B584" s="13"/>
      <c r="C584" s="13"/>
      <c r="D584" s="12"/>
      <c r="E584" s="12"/>
      <c r="F584" s="13"/>
      <c r="G584" s="13"/>
      <c r="H584" s="13"/>
      <c r="I584" s="14"/>
      <c r="J584" s="13"/>
      <c r="K584" s="13"/>
    </row>
    <row r="585" spans="1:11" ht="15" customHeight="1" x14ac:dyDescent="0.25">
      <c r="A585" s="13"/>
      <c r="B585" s="13"/>
      <c r="C585" s="13"/>
      <c r="D585" s="12"/>
      <c r="E585" s="12"/>
      <c r="F585" s="13"/>
      <c r="G585" s="13"/>
      <c r="H585" s="13"/>
      <c r="I585" s="14"/>
      <c r="J585" s="13"/>
      <c r="K585" s="13"/>
    </row>
    <row r="586" spans="1:11" ht="15" customHeight="1" x14ac:dyDescent="0.25">
      <c r="A586" s="13"/>
      <c r="B586" s="13"/>
      <c r="C586" s="13"/>
      <c r="D586" s="12"/>
      <c r="E586" s="12"/>
      <c r="F586" s="13"/>
      <c r="G586" s="13"/>
      <c r="H586" s="13"/>
      <c r="I586" s="14"/>
      <c r="J586" s="13"/>
      <c r="K586" s="13"/>
    </row>
    <row r="587" spans="1:11" ht="15" customHeight="1" x14ac:dyDescent="0.25">
      <c r="A587" s="13"/>
      <c r="B587" s="13"/>
      <c r="C587" s="13"/>
      <c r="D587" s="12"/>
      <c r="E587" s="12"/>
      <c r="F587" s="13"/>
      <c r="G587" s="13"/>
      <c r="H587" s="13"/>
      <c r="I587" s="14"/>
      <c r="J587" s="13"/>
      <c r="K587" s="13"/>
    </row>
    <row r="588" spans="1:11" ht="15" customHeight="1" x14ac:dyDescent="0.25">
      <c r="A588" s="13"/>
      <c r="B588" s="13"/>
      <c r="C588" s="13"/>
      <c r="D588" s="12"/>
      <c r="E588" s="12"/>
      <c r="F588" s="13"/>
      <c r="G588" s="13"/>
      <c r="H588" s="13"/>
      <c r="I588" s="14"/>
      <c r="J588" s="13"/>
      <c r="K588" s="13"/>
    </row>
    <row r="589" spans="1:11" ht="15" customHeight="1" x14ac:dyDescent="0.25">
      <c r="A589" s="13"/>
      <c r="B589" s="13"/>
      <c r="C589" s="13"/>
      <c r="D589" s="12"/>
      <c r="E589" s="12"/>
      <c r="F589" s="13"/>
      <c r="G589" s="13"/>
      <c r="H589" s="13"/>
      <c r="I589" s="14"/>
      <c r="J589" s="13"/>
      <c r="K589" s="13"/>
    </row>
    <row r="590" spans="1:11" ht="15" customHeight="1" x14ac:dyDescent="0.25">
      <c r="A590" s="13"/>
      <c r="B590" s="13"/>
      <c r="C590" s="13"/>
      <c r="D590" s="12"/>
      <c r="E590" s="12"/>
      <c r="F590" s="13"/>
      <c r="G590" s="13"/>
      <c r="H590" s="13"/>
      <c r="I590" s="14"/>
      <c r="J590" s="13"/>
      <c r="K590" s="13"/>
    </row>
    <row r="591" spans="1:11" ht="15" customHeight="1" x14ac:dyDescent="0.25">
      <c r="A591" s="13"/>
      <c r="B591" s="13"/>
      <c r="C591" s="13"/>
      <c r="D591" s="12"/>
      <c r="E591" s="12"/>
      <c r="F591" s="13"/>
      <c r="G591" s="13"/>
      <c r="H591" s="13"/>
      <c r="I591" s="14"/>
      <c r="J591" s="13"/>
      <c r="K591" s="13"/>
    </row>
    <row r="592" spans="1:11" ht="15" customHeight="1" x14ac:dyDescent="0.25">
      <c r="A592" s="13"/>
      <c r="B592" s="13"/>
      <c r="C592" s="13"/>
      <c r="D592" s="12"/>
      <c r="E592" s="12"/>
      <c r="F592" s="13"/>
      <c r="G592" s="13"/>
      <c r="H592" s="13"/>
      <c r="I592" s="14"/>
      <c r="J592" s="13"/>
      <c r="K592" s="13"/>
    </row>
    <row r="593" spans="1:11" ht="15" customHeight="1" x14ac:dyDescent="0.25">
      <c r="A593" s="13"/>
      <c r="B593" s="13"/>
      <c r="C593" s="13"/>
      <c r="D593" s="12"/>
      <c r="E593" s="12"/>
      <c r="F593" s="13"/>
      <c r="G593" s="13"/>
      <c r="H593" s="13"/>
      <c r="I593" s="14"/>
      <c r="J593" s="13"/>
      <c r="K593" s="13"/>
    </row>
    <row r="594" spans="1:11" ht="15" customHeight="1" x14ac:dyDescent="0.25">
      <c r="A594" s="13"/>
      <c r="B594" s="13"/>
      <c r="C594" s="13"/>
      <c r="D594" s="12"/>
      <c r="E594" s="12"/>
      <c r="F594" s="13"/>
      <c r="G594" s="13"/>
      <c r="H594" s="13"/>
      <c r="I594" s="14"/>
      <c r="J594" s="13"/>
      <c r="K594" s="13"/>
    </row>
    <row r="595" spans="1:11" ht="15" customHeight="1" x14ac:dyDescent="0.25">
      <c r="A595" s="13"/>
      <c r="B595" s="13"/>
      <c r="C595" s="13"/>
      <c r="D595" s="12"/>
      <c r="E595" s="12"/>
      <c r="F595" s="13"/>
      <c r="G595" s="13"/>
      <c r="H595" s="13"/>
      <c r="I595" s="14"/>
      <c r="J595" s="13"/>
      <c r="K595" s="13"/>
    </row>
    <row r="596" spans="1:11" ht="15" customHeight="1" x14ac:dyDescent="0.25">
      <c r="A596" s="13"/>
      <c r="B596" s="13"/>
      <c r="C596" s="13"/>
      <c r="D596" s="12"/>
      <c r="E596" s="12"/>
      <c r="F596" s="13"/>
      <c r="G596" s="13"/>
      <c r="H596" s="13"/>
      <c r="I596" s="14"/>
      <c r="J596" s="13"/>
      <c r="K596" s="13"/>
    </row>
    <row r="597" spans="1:11" ht="15" customHeight="1" x14ac:dyDescent="0.25">
      <c r="A597" s="13"/>
      <c r="B597" s="13"/>
      <c r="C597" s="13"/>
      <c r="D597" s="12"/>
      <c r="E597" s="12"/>
      <c r="F597" s="13"/>
      <c r="G597" s="13"/>
      <c r="H597" s="13"/>
      <c r="I597" s="14"/>
      <c r="J597" s="13"/>
      <c r="K597" s="13"/>
    </row>
    <row r="598" spans="1:11" ht="15" customHeight="1" x14ac:dyDescent="0.25">
      <c r="A598" s="13"/>
      <c r="B598" s="13"/>
      <c r="C598" s="13"/>
      <c r="D598" s="12"/>
      <c r="E598" s="12"/>
      <c r="F598" s="13"/>
      <c r="G598" s="13"/>
      <c r="H598" s="13"/>
      <c r="I598" s="14"/>
      <c r="J598" s="13"/>
      <c r="K598" s="13"/>
    </row>
    <row r="599" spans="1:11" ht="15" customHeight="1" x14ac:dyDescent="0.25">
      <c r="A599" s="13"/>
      <c r="B599" s="13"/>
      <c r="C599" s="13"/>
      <c r="D599" s="12"/>
      <c r="E599" s="12"/>
      <c r="F599" s="13"/>
      <c r="G599" s="13"/>
      <c r="H599" s="13"/>
      <c r="I599" s="14"/>
      <c r="J599" s="13"/>
      <c r="K599" s="13"/>
    </row>
    <row r="600" spans="1:11" ht="15" customHeight="1" x14ac:dyDescent="0.25">
      <c r="A600" s="13"/>
      <c r="B600" s="13"/>
      <c r="C600" s="13"/>
      <c r="D600" s="12"/>
      <c r="E600" s="12"/>
      <c r="F600" s="13"/>
      <c r="G600" s="13"/>
      <c r="H600" s="13"/>
      <c r="I600" s="14"/>
      <c r="J600" s="13"/>
      <c r="K600" s="13"/>
    </row>
    <row r="601" spans="1:11" ht="15" customHeight="1" x14ac:dyDescent="0.25">
      <c r="A601" s="13"/>
      <c r="B601" s="13"/>
      <c r="C601" s="13"/>
      <c r="D601" s="12"/>
      <c r="E601" s="12"/>
      <c r="F601" s="13"/>
      <c r="G601" s="13"/>
      <c r="H601" s="13"/>
      <c r="I601" s="14"/>
      <c r="J601" s="13"/>
      <c r="K601" s="13"/>
    </row>
    <row r="602" spans="1:11" ht="15" customHeight="1" x14ac:dyDescent="0.25">
      <c r="A602" s="13"/>
      <c r="B602" s="13"/>
      <c r="C602" s="13"/>
      <c r="D602" s="12"/>
      <c r="E602" s="12"/>
      <c r="F602" s="13"/>
      <c r="G602" s="13"/>
      <c r="H602" s="13"/>
      <c r="I602" s="14"/>
      <c r="J602" s="13"/>
      <c r="K602" s="13"/>
    </row>
    <row r="603" spans="1:11" ht="15" customHeight="1" x14ac:dyDescent="0.25">
      <c r="A603" s="13"/>
      <c r="B603" s="13"/>
      <c r="C603" s="13"/>
      <c r="D603" s="12"/>
      <c r="E603" s="12"/>
      <c r="F603" s="13"/>
      <c r="G603" s="13"/>
      <c r="H603" s="13"/>
      <c r="I603" s="14"/>
      <c r="J603" s="13"/>
      <c r="K603" s="13"/>
    </row>
    <row r="604" spans="1:11" ht="15" customHeight="1" x14ac:dyDescent="0.25">
      <c r="A604" s="13"/>
      <c r="B604" s="13"/>
      <c r="C604" s="13"/>
      <c r="D604" s="12"/>
      <c r="E604" s="12"/>
      <c r="F604" s="13"/>
      <c r="G604" s="13"/>
      <c r="H604" s="13"/>
      <c r="I604" s="14"/>
      <c r="J604" s="13"/>
      <c r="K604" s="13"/>
    </row>
    <row r="605" spans="1:11" ht="15" customHeight="1" x14ac:dyDescent="0.25">
      <c r="A605" s="13"/>
      <c r="B605" s="13"/>
      <c r="C605" s="13"/>
      <c r="D605" s="12"/>
      <c r="E605" s="12"/>
      <c r="F605" s="13"/>
      <c r="G605" s="13"/>
      <c r="H605" s="13"/>
      <c r="I605" s="14"/>
      <c r="J605" s="13"/>
      <c r="K605" s="13"/>
    </row>
    <row r="606" spans="1:11" ht="15" customHeight="1" x14ac:dyDescent="0.25">
      <c r="A606" s="13"/>
      <c r="B606" s="13"/>
      <c r="C606" s="13"/>
      <c r="D606" s="12"/>
      <c r="E606" s="12"/>
      <c r="F606" s="13"/>
      <c r="G606" s="13"/>
      <c r="H606" s="13"/>
      <c r="I606" s="14"/>
      <c r="J606" s="13"/>
      <c r="K606" s="13"/>
    </row>
    <row r="607" spans="1:11" ht="15" customHeight="1" x14ac:dyDescent="0.25">
      <c r="A607" s="13"/>
      <c r="B607" s="13"/>
      <c r="C607" s="13"/>
      <c r="D607" s="12"/>
      <c r="E607" s="12"/>
      <c r="F607" s="13"/>
      <c r="G607" s="13"/>
      <c r="H607" s="13"/>
      <c r="I607" s="14"/>
      <c r="J607" s="13"/>
      <c r="K607" s="13"/>
    </row>
    <row r="608" spans="1:11" ht="15" customHeight="1" x14ac:dyDescent="0.25">
      <c r="A608" s="13"/>
      <c r="B608" s="13"/>
      <c r="C608" s="13"/>
      <c r="D608" s="12"/>
      <c r="E608" s="12"/>
      <c r="F608" s="13"/>
      <c r="G608" s="13"/>
      <c r="H608" s="13"/>
      <c r="I608" s="14"/>
      <c r="J608" s="13"/>
      <c r="K608" s="13"/>
    </row>
    <row r="609" spans="1:11" ht="15" customHeight="1" x14ac:dyDescent="0.25">
      <c r="A609" s="13"/>
      <c r="B609" s="13"/>
      <c r="C609" s="13"/>
      <c r="D609" s="12"/>
      <c r="E609" s="12"/>
      <c r="F609" s="13"/>
      <c r="G609" s="13"/>
      <c r="H609" s="13"/>
      <c r="I609" s="14"/>
      <c r="J609" s="13"/>
      <c r="K609" s="13"/>
    </row>
    <row r="610" spans="1:11" ht="15" customHeight="1" x14ac:dyDescent="0.25">
      <c r="A610" s="13"/>
      <c r="B610" s="13"/>
      <c r="C610" s="13"/>
      <c r="D610" s="12"/>
      <c r="E610" s="12"/>
      <c r="F610" s="13"/>
      <c r="G610" s="13"/>
      <c r="H610" s="13"/>
      <c r="I610" s="14"/>
      <c r="J610" s="13"/>
      <c r="K610" s="13"/>
    </row>
    <row r="611" spans="1:11" ht="15" customHeight="1" x14ac:dyDescent="0.25">
      <c r="A611" s="13"/>
      <c r="B611" s="13"/>
      <c r="C611" s="13"/>
      <c r="D611" s="12"/>
      <c r="E611" s="12"/>
      <c r="F611" s="13"/>
      <c r="G611" s="13"/>
      <c r="H611" s="13"/>
      <c r="I611" s="14"/>
      <c r="J611" s="13"/>
      <c r="K611" s="13"/>
    </row>
    <row r="612" spans="1:11" ht="15" customHeight="1" x14ac:dyDescent="0.25">
      <c r="A612" s="13"/>
      <c r="B612" s="13"/>
      <c r="C612" s="13"/>
      <c r="D612" s="12"/>
      <c r="E612" s="12"/>
      <c r="F612" s="13"/>
      <c r="G612" s="13"/>
      <c r="H612" s="13"/>
      <c r="I612" s="14"/>
      <c r="J612" s="13"/>
      <c r="K612" s="13"/>
    </row>
    <row r="613" spans="1:11" ht="15" customHeight="1" x14ac:dyDescent="0.25">
      <c r="A613" s="13"/>
      <c r="B613" s="13"/>
      <c r="C613" s="13"/>
      <c r="D613" s="12"/>
      <c r="E613" s="12"/>
      <c r="F613" s="13"/>
      <c r="G613" s="13"/>
      <c r="H613" s="13"/>
      <c r="I613" s="14"/>
      <c r="J613" s="13"/>
      <c r="K613" s="13"/>
    </row>
    <row r="614" spans="1:11" ht="15" customHeight="1" x14ac:dyDescent="0.25">
      <c r="A614" s="13"/>
      <c r="B614" s="13"/>
      <c r="C614" s="13"/>
      <c r="D614" s="12"/>
      <c r="E614" s="12"/>
      <c r="F614" s="13"/>
      <c r="G614" s="13"/>
      <c r="H614" s="13"/>
      <c r="I614" s="14"/>
      <c r="J614" s="13"/>
      <c r="K614" s="13"/>
    </row>
    <row r="615" spans="1:11" ht="15" customHeight="1" x14ac:dyDescent="0.25">
      <c r="A615" s="13"/>
      <c r="B615" s="13"/>
      <c r="C615" s="13"/>
      <c r="D615" s="12"/>
      <c r="E615" s="12"/>
      <c r="F615" s="13"/>
      <c r="G615" s="13"/>
      <c r="H615" s="13"/>
      <c r="I615" s="14"/>
      <c r="J615" s="13"/>
      <c r="K615" s="13"/>
    </row>
    <row r="616" spans="1:11" ht="15" customHeight="1" x14ac:dyDescent="0.25">
      <c r="A616" s="13"/>
      <c r="B616" s="13"/>
      <c r="C616" s="13"/>
      <c r="D616" s="12"/>
      <c r="E616" s="12"/>
      <c r="F616" s="13"/>
      <c r="G616" s="13"/>
      <c r="H616" s="13"/>
      <c r="I616" s="14"/>
      <c r="J616" s="13"/>
      <c r="K616" s="13"/>
    </row>
    <row r="617" spans="1:11" ht="15" customHeight="1" x14ac:dyDescent="0.25">
      <c r="A617" s="13"/>
      <c r="B617" s="13"/>
      <c r="C617" s="13"/>
      <c r="D617" s="12"/>
      <c r="E617" s="12"/>
      <c r="F617" s="13"/>
      <c r="G617" s="13"/>
      <c r="H617" s="13"/>
      <c r="I617" s="14"/>
      <c r="J617" s="13"/>
      <c r="K617" s="13"/>
    </row>
    <row r="618" spans="1:11" ht="15" customHeight="1" x14ac:dyDescent="0.25">
      <c r="A618" s="13"/>
      <c r="B618" s="13"/>
      <c r="C618" s="13"/>
      <c r="D618" s="12"/>
      <c r="E618" s="12"/>
      <c r="F618" s="13"/>
      <c r="G618" s="13"/>
      <c r="H618" s="13"/>
      <c r="I618" s="14"/>
      <c r="J618" s="13"/>
      <c r="K618" s="13"/>
    </row>
    <row r="619" spans="1:11" ht="15" customHeight="1" x14ac:dyDescent="0.25">
      <c r="A619" s="13"/>
      <c r="B619" s="13"/>
      <c r="C619" s="13"/>
      <c r="D619" s="12"/>
      <c r="E619" s="12"/>
      <c r="F619" s="13"/>
      <c r="G619" s="13"/>
      <c r="H619" s="13"/>
      <c r="I619" s="14"/>
      <c r="J619" s="13"/>
      <c r="K619" s="13"/>
    </row>
    <row r="620" spans="1:11" ht="15" customHeight="1" x14ac:dyDescent="0.25">
      <c r="A620" s="13"/>
      <c r="B620" s="13"/>
      <c r="C620" s="13"/>
      <c r="D620" s="12"/>
      <c r="E620" s="12"/>
      <c r="F620" s="13"/>
      <c r="G620" s="13"/>
      <c r="H620" s="13"/>
      <c r="I620" s="14"/>
      <c r="J620" s="13"/>
      <c r="K620" s="13"/>
    </row>
    <row r="621" spans="1:11" ht="15" customHeight="1" x14ac:dyDescent="0.25">
      <c r="A621" s="13"/>
      <c r="B621" s="13"/>
      <c r="C621" s="13"/>
      <c r="D621" s="12"/>
      <c r="E621" s="12"/>
      <c r="F621" s="13"/>
      <c r="G621" s="13"/>
      <c r="H621" s="13"/>
      <c r="I621" s="14"/>
      <c r="J621" s="13"/>
      <c r="K621" s="13"/>
    </row>
    <row r="622" spans="1:11" ht="15" customHeight="1" x14ac:dyDescent="0.25">
      <c r="A622" s="13"/>
      <c r="B622" s="13"/>
      <c r="C622" s="13"/>
      <c r="D622" s="12"/>
      <c r="E622" s="12"/>
      <c r="F622" s="13"/>
      <c r="G622" s="13"/>
      <c r="H622" s="13"/>
      <c r="I622" s="14"/>
      <c r="J622" s="13"/>
      <c r="K622" s="13"/>
    </row>
    <row r="623" spans="1:11" ht="15" customHeight="1" x14ac:dyDescent="0.25">
      <c r="A623" s="13"/>
      <c r="B623" s="13"/>
      <c r="C623" s="13"/>
      <c r="D623" s="12"/>
      <c r="E623" s="12"/>
      <c r="F623" s="13"/>
      <c r="G623" s="13"/>
      <c r="H623" s="13"/>
      <c r="I623" s="14"/>
      <c r="J623" s="13"/>
      <c r="K623" s="13"/>
    </row>
    <row r="624" spans="1:11" ht="15" customHeight="1" x14ac:dyDescent="0.25">
      <c r="A624" s="13"/>
      <c r="B624" s="13"/>
      <c r="C624" s="13"/>
      <c r="D624" s="12"/>
      <c r="E624" s="12"/>
      <c r="F624" s="13"/>
      <c r="G624" s="13"/>
      <c r="H624" s="13"/>
      <c r="I624" s="14"/>
      <c r="J624" s="13"/>
      <c r="K624" s="13"/>
    </row>
    <row r="625" spans="1:11" ht="15" customHeight="1" x14ac:dyDescent="0.25">
      <c r="A625" s="13"/>
      <c r="B625" s="13"/>
      <c r="C625" s="13"/>
      <c r="D625" s="12"/>
      <c r="E625" s="12"/>
      <c r="F625" s="13"/>
      <c r="G625" s="13"/>
      <c r="H625" s="13"/>
      <c r="I625" s="14"/>
      <c r="J625" s="13"/>
      <c r="K625" s="13"/>
    </row>
    <row r="626" spans="1:11" ht="15" customHeight="1" x14ac:dyDescent="0.25">
      <c r="A626" s="13"/>
      <c r="B626" s="13"/>
      <c r="C626" s="13"/>
      <c r="D626" s="12"/>
      <c r="E626" s="12"/>
      <c r="F626" s="13"/>
      <c r="G626" s="13"/>
      <c r="H626" s="13"/>
      <c r="I626" s="14"/>
      <c r="J626" s="13"/>
      <c r="K626" s="13"/>
    </row>
    <row r="627" spans="1:11" ht="15" customHeight="1" x14ac:dyDescent="0.25">
      <c r="A627" s="13"/>
      <c r="B627" s="13"/>
      <c r="C627" s="13"/>
      <c r="D627" s="12"/>
      <c r="E627" s="12"/>
      <c r="F627" s="13"/>
      <c r="G627" s="13"/>
      <c r="H627" s="13"/>
      <c r="I627" s="14"/>
      <c r="J627" s="13"/>
      <c r="K627" s="13"/>
    </row>
    <row r="628" spans="1:11" ht="15" customHeight="1" x14ac:dyDescent="0.25">
      <c r="A628" s="13"/>
      <c r="B628" s="13"/>
      <c r="C628" s="13"/>
      <c r="D628" s="12"/>
      <c r="E628" s="12"/>
      <c r="F628" s="13"/>
      <c r="G628" s="13"/>
      <c r="H628" s="13"/>
      <c r="I628" s="14"/>
      <c r="J628" s="13"/>
      <c r="K628" s="13"/>
    </row>
    <row r="629" spans="1:11" ht="15" customHeight="1" x14ac:dyDescent="0.25">
      <c r="A629" s="13"/>
      <c r="B629" s="13"/>
      <c r="C629" s="13"/>
      <c r="D629" s="12"/>
      <c r="E629" s="12"/>
      <c r="F629" s="13"/>
      <c r="G629" s="13"/>
      <c r="H629" s="13"/>
      <c r="I629" s="14"/>
      <c r="J629" s="13"/>
      <c r="K629" s="13"/>
    </row>
    <row r="630" spans="1:11" ht="15" customHeight="1" x14ac:dyDescent="0.25">
      <c r="A630" s="13"/>
      <c r="B630" s="13"/>
      <c r="C630" s="13"/>
      <c r="D630" s="12"/>
      <c r="E630" s="12"/>
      <c r="F630" s="13"/>
      <c r="G630" s="13"/>
      <c r="H630" s="13"/>
      <c r="I630" s="14"/>
      <c r="J630" s="13"/>
      <c r="K630" s="13"/>
    </row>
    <row r="631" spans="1:11" ht="15" customHeight="1" x14ac:dyDescent="0.25">
      <c r="A631" s="13"/>
      <c r="B631" s="13"/>
      <c r="C631" s="13"/>
      <c r="D631" s="12"/>
      <c r="E631" s="12"/>
      <c r="F631" s="13"/>
      <c r="G631" s="13"/>
      <c r="H631" s="13"/>
      <c r="I631" s="14"/>
      <c r="J631" s="13"/>
      <c r="K631" s="13"/>
    </row>
    <row r="632" spans="1:11" ht="15" customHeight="1" x14ac:dyDescent="0.25">
      <c r="A632" s="13"/>
      <c r="B632" s="13"/>
      <c r="C632" s="13"/>
      <c r="D632" s="12"/>
      <c r="E632" s="12"/>
      <c r="F632" s="13"/>
      <c r="G632" s="13"/>
      <c r="H632" s="13"/>
      <c r="I632" s="14"/>
      <c r="J632" s="13"/>
      <c r="K632" s="13"/>
    </row>
    <row r="633" spans="1:11" ht="15" customHeight="1" x14ac:dyDescent="0.25">
      <c r="A633" s="13"/>
      <c r="B633" s="13"/>
      <c r="C633" s="13"/>
      <c r="D633" s="12"/>
      <c r="E633" s="12"/>
      <c r="F633" s="13"/>
      <c r="G633" s="13"/>
      <c r="H633" s="13"/>
      <c r="I633" s="14"/>
      <c r="J633" s="13"/>
      <c r="K633" s="13"/>
    </row>
    <row r="634" spans="1:11" ht="15" customHeight="1" x14ac:dyDescent="0.25">
      <c r="A634" s="13"/>
      <c r="B634" s="13"/>
      <c r="C634" s="13"/>
      <c r="D634" s="12"/>
      <c r="E634" s="12"/>
      <c r="F634" s="13"/>
      <c r="G634" s="13"/>
      <c r="H634" s="13"/>
      <c r="I634" s="14"/>
      <c r="J634" s="13"/>
      <c r="K634" s="13"/>
    </row>
    <row r="635" spans="1:11" ht="15" customHeight="1" x14ac:dyDescent="0.25">
      <c r="A635" s="13"/>
      <c r="B635" s="13"/>
      <c r="C635" s="13"/>
      <c r="D635" s="12"/>
      <c r="E635" s="12"/>
      <c r="F635" s="13"/>
      <c r="G635" s="13"/>
      <c r="H635" s="13"/>
      <c r="I635" s="14"/>
      <c r="J635" s="13"/>
      <c r="K635" s="13"/>
    </row>
    <row r="636" spans="1:11" ht="15" customHeight="1" x14ac:dyDescent="0.25">
      <c r="A636" s="13"/>
      <c r="B636" s="13"/>
      <c r="C636" s="13"/>
      <c r="D636" s="12"/>
      <c r="E636" s="12"/>
      <c r="F636" s="13"/>
      <c r="G636" s="13"/>
      <c r="H636" s="13"/>
      <c r="I636" s="14"/>
      <c r="J636" s="13"/>
      <c r="K636" s="13"/>
    </row>
    <row r="637" spans="1:11" ht="15" customHeight="1" x14ac:dyDescent="0.25">
      <c r="A637" s="13"/>
      <c r="B637" s="13"/>
      <c r="C637" s="13"/>
      <c r="D637" s="12"/>
      <c r="E637" s="12"/>
      <c r="F637" s="13"/>
      <c r="G637" s="13"/>
      <c r="H637" s="13"/>
      <c r="I637" s="14"/>
      <c r="J637" s="13"/>
      <c r="K637" s="13"/>
    </row>
    <row r="638" spans="1:11" ht="15" customHeight="1" x14ac:dyDescent="0.25">
      <c r="A638" s="13"/>
      <c r="B638" s="13"/>
      <c r="C638" s="13"/>
      <c r="D638" s="12"/>
      <c r="E638" s="12"/>
      <c r="F638" s="13"/>
      <c r="G638" s="13"/>
      <c r="H638" s="13"/>
      <c r="I638" s="14"/>
      <c r="J638" s="13"/>
      <c r="K638" s="13"/>
    </row>
    <row r="639" spans="1:11" ht="15" customHeight="1" x14ac:dyDescent="0.25">
      <c r="A639" s="13"/>
      <c r="B639" s="13"/>
      <c r="C639" s="13"/>
      <c r="D639" s="12"/>
      <c r="E639" s="12"/>
      <c r="F639" s="13"/>
      <c r="G639" s="13"/>
      <c r="H639" s="13"/>
      <c r="I639" s="14"/>
      <c r="J639" s="13"/>
      <c r="K639" s="13"/>
    </row>
    <row r="640" spans="1:11" ht="15" customHeight="1" x14ac:dyDescent="0.25">
      <c r="A640" s="13"/>
      <c r="B640" s="13"/>
      <c r="C640" s="13"/>
      <c r="D640" s="12"/>
      <c r="E640" s="12"/>
      <c r="F640" s="13"/>
      <c r="G640" s="13"/>
      <c r="H640" s="13"/>
      <c r="I640" s="14"/>
      <c r="J640" s="13"/>
      <c r="K640" s="13"/>
    </row>
    <row r="641" spans="1:11" ht="15" customHeight="1" x14ac:dyDescent="0.25">
      <c r="A641" s="13"/>
      <c r="B641" s="13"/>
      <c r="C641" s="13"/>
      <c r="D641" s="12"/>
      <c r="E641" s="12"/>
      <c r="F641" s="13"/>
      <c r="G641" s="13"/>
      <c r="H641" s="13"/>
      <c r="I641" s="14"/>
      <c r="J641" s="13"/>
      <c r="K641" s="13"/>
    </row>
    <row r="642" spans="1:11" ht="15" customHeight="1" x14ac:dyDescent="0.25">
      <c r="A642" s="13"/>
      <c r="B642" s="13"/>
      <c r="C642" s="13"/>
      <c r="D642" s="12"/>
      <c r="E642" s="12"/>
      <c r="F642" s="13"/>
      <c r="G642" s="13"/>
      <c r="H642" s="13"/>
      <c r="I642" s="14"/>
      <c r="J642" s="13"/>
      <c r="K642" s="13"/>
    </row>
    <row r="643" spans="1:11" ht="15" customHeight="1" x14ac:dyDescent="0.25">
      <c r="A643" s="13"/>
      <c r="B643" s="13"/>
      <c r="C643" s="13"/>
      <c r="D643" s="12"/>
      <c r="E643" s="12"/>
      <c r="F643" s="13"/>
      <c r="G643" s="13"/>
      <c r="H643" s="13"/>
      <c r="I643" s="14"/>
      <c r="J643" s="13"/>
      <c r="K643" s="13"/>
    </row>
    <row r="644" spans="1:11" ht="15" customHeight="1" x14ac:dyDescent="0.25">
      <c r="A644" s="13"/>
      <c r="B644" s="13"/>
      <c r="C644" s="13"/>
      <c r="D644" s="12"/>
      <c r="E644" s="12"/>
      <c r="F644" s="13"/>
      <c r="G644" s="13"/>
      <c r="H644" s="13"/>
      <c r="I644" s="14"/>
      <c r="J644" s="13"/>
      <c r="K644" s="13"/>
    </row>
    <row r="645" spans="1:11" ht="15" customHeight="1" x14ac:dyDescent="0.25">
      <c r="A645" s="13"/>
      <c r="B645" s="13"/>
      <c r="C645" s="13"/>
      <c r="D645" s="12"/>
      <c r="E645" s="12"/>
      <c r="F645" s="13"/>
      <c r="G645" s="13"/>
      <c r="H645" s="13"/>
      <c r="I645" s="14"/>
      <c r="J645" s="13"/>
      <c r="K645" s="13"/>
    </row>
    <row r="646" spans="1:11" ht="15" customHeight="1" x14ac:dyDescent="0.25">
      <c r="A646" s="13"/>
      <c r="B646" s="13"/>
      <c r="C646" s="13"/>
      <c r="D646" s="12"/>
      <c r="E646" s="12"/>
      <c r="F646" s="13"/>
      <c r="G646" s="13"/>
      <c r="H646" s="13"/>
      <c r="I646" s="14"/>
      <c r="J646" s="13"/>
      <c r="K646" s="13"/>
    </row>
    <row r="647" spans="1:11" ht="15" customHeight="1" x14ac:dyDescent="0.25">
      <c r="A647" s="13"/>
      <c r="B647" s="13"/>
      <c r="C647" s="13"/>
      <c r="D647" s="12"/>
      <c r="E647" s="12"/>
      <c r="F647" s="13"/>
      <c r="G647" s="13"/>
      <c r="H647" s="13"/>
      <c r="I647" s="14"/>
      <c r="J647" s="13"/>
      <c r="K647" s="13"/>
    </row>
    <row r="648" spans="1:11" ht="15" customHeight="1" x14ac:dyDescent="0.25">
      <c r="A648" s="13"/>
      <c r="B648" s="13"/>
      <c r="C648" s="13"/>
      <c r="D648" s="12"/>
      <c r="E648" s="12"/>
      <c r="F648" s="13"/>
      <c r="G648" s="13"/>
      <c r="H648" s="13"/>
      <c r="I648" s="14"/>
      <c r="J648" s="13"/>
      <c r="K648" s="13"/>
    </row>
    <row r="649" spans="1:11" ht="15" customHeight="1" x14ac:dyDescent="0.25">
      <c r="A649" s="13"/>
      <c r="B649" s="13"/>
      <c r="C649" s="13"/>
      <c r="D649" s="12"/>
      <c r="E649" s="12"/>
      <c r="F649" s="13"/>
      <c r="G649" s="13"/>
      <c r="H649" s="13"/>
      <c r="I649" s="14"/>
      <c r="J649" s="13"/>
      <c r="K649" s="13"/>
    </row>
    <row r="650" spans="1:11" ht="15" customHeight="1" x14ac:dyDescent="0.25">
      <c r="A650" s="13"/>
      <c r="B650" s="13"/>
      <c r="C650" s="13"/>
      <c r="D650" s="12"/>
      <c r="E650" s="12"/>
      <c r="F650" s="13"/>
      <c r="G650" s="13"/>
      <c r="H650" s="13"/>
      <c r="I650" s="14"/>
      <c r="J650" s="13"/>
      <c r="K650" s="13"/>
    </row>
    <row r="651" spans="1:11" ht="15" customHeight="1" x14ac:dyDescent="0.25">
      <c r="A651" s="13"/>
      <c r="B651" s="13"/>
      <c r="C651" s="13"/>
      <c r="D651" s="12"/>
      <c r="E651" s="12"/>
      <c r="F651" s="13"/>
      <c r="G651" s="13"/>
      <c r="H651" s="13"/>
      <c r="I651" s="14"/>
      <c r="J651" s="13"/>
      <c r="K651" s="13"/>
    </row>
    <row r="652" spans="1:11" ht="15" customHeight="1" x14ac:dyDescent="0.25">
      <c r="A652" s="13"/>
      <c r="B652" s="13"/>
      <c r="C652" s="13"/>
      <c r="D652" s="12"/>
      <c r="E652" s="12"/>
      <c r="F652" s="13"/>
      <c r="G652" s="13"/>
      <c r="H652" s="13"/>
      <c r="I652" s="14"/>
      <c r="J652" s="13"/>
      <c r="K652" s="13"/>
    </row>
    <row r="653" spans="1:11" ht="15" customHeight="1" x14ac:dyDescent="0.25">
      <c r="A653" s="13"/>
      <c r="B653" s="13"/>
      <c r="C653" s="13"/>
      <c r="D653" s="12"/>
      <c r="E653" s="12"/>
      <c r="F653" s="13"/>
      <c r="G653" s="13"/>
      <c r="H653" s="13"/>
      <c r="I653" s="14"/>
      <c r="J653" s="13"/>
      <c r="K653" s="13"/>
    </row>
    <row r="654" spans="1:11" ht="15" customHeight="1" x14ac:dyDescent="0.25">
      <c r="A654" s="13"/>
      <c r="B654" s="13"/>
      <c r="C654" s="13"/>
      <c r="D654" s="12"/>
      <c r="E654" s="12"/>
      <c r="F654" s="13"/>
      <c r="G654" s="13"/>
      <c r="H654" s="13"/>
      <c r="I654" s="14"/>
      <c r="J654" s="13"/>
      <c r="K654" s="13"/>
    </row>
    <row r="655" spans="1:11" ht="15" customHeight="1" x14ac:dyDescent="0.25">
      <c r="A655" s="13"/>
      <c r="B655" s="13"/>
      <c r="C655" s="13"/>
      <c r="D655" s="12"/>
      <c r="E655" s="12"/>
      <c r="F655" s="13"/>
      <c r="G655" s="13"/>
      <c r="H655" s="13"/>
      <c r="I655" s="14"/>
      <c r="J655" s="13"/>
      <c r="K655" s="13"/>
    </row>
    <row r="656" spans="1:11" ht="15" customHeight="1" x14ac:dyDescent="0.25">
      <c r="A656" s="13"/>
      <c r="B656" s="13"/>
      <c r="C656" s="13"/>
      <c r="D656" s="12"/>
      <c r="E656" s="12"/>
      <c r="F656" s="13"/>
      <c r="G656" s="13"/>
      <c r="H656" s="13"/>
      <c r="I656" s="14"/>
      <c r="J656" s="13"/>
      <c r="K656" s="13"/>
    </row>
    <row r="657" spans="1:11" ht="15" customHeight="1" x14ac:dyDescent="0.25">
      <c r="A657" s="13"/>
      <c r="B657" s="13"/>
      <c r="C657" s="13"/>
      <c r="D657" s="12"/>
      <c r="E657" s="12"/>
      <c r="F657" s="13"/>
      <c r="G657" s="13"/>
      <c r="H657" s="13"/>
      <c r="I657" s="14"/>
      <c r="J657" s="13"/>
      <c r="K657" s="13"/>
    </row>
    <row r="658" spans="1:11" ht="15" customHeight="1" x14ac:dyDescent="0.25">
      <c r="A658" s="13"/>
      <c r="B658" s="13"/>
      <c r="C658" s="13"/>
      <c r="D658" s="12"/>
      <c r="E658" s="12"/>
      <c r="F658" s="13"/>
      <c r="G658" s="13"/>
      <c r="H658" s="13"/>
      <c r="I658" s="14"/>
      <c r="J658" s="13"/>
      <c r="K658" s="13"/>
    </row>
    <row r="659" spans="1:11" ht="15" customHeight="1" x14ac:dyDescent="0.25">
      <c r="A659" s="13"/>
      <c r="B659" s="13"/>
      <c r="C659" s="13"/>
      <c r="D659" s="12"/>
      <c r="E659" s="12"/>
      <c r="F659" s="13"/>
      <c r="G659" s="13"/>
      <c r="H659" s="13"/>
      <c r="I659" s="14"/>
      <c r="J659" s="13"/>
      <c r="K659" s="13"/>
    </row>
    <row r="660" spans="1:11" ht="15" customHeight="1" x14ac:dyDescent="0.25">
      <c r="A660" s="13"/>
      <c r="B660" s="13"/>
      <c r="C660" s="13"/>
      <c r="D660" s="12"/>
      <c r="E660" s="12"/>
      <c r="F660" s="13"/>
      <c r="G660" s="13"/>
      <c r="H660" s="13"/>
      <c r="I660" s="14"/>
      <c r="J660" s="13"/>
      <c r="K660" s="13"/>
    </row>
    <row r="661" spans="1:11" ht="15" customHeight="1" x14ac:dyDescent="0.25">
      <c r="A661" s="13"/>
      <c r="B661" s="13"/>
      <c r="C661" s="13"/>
      <c r="D661" s="12"/>
      <c r="E661" s="12"/>
      <c r="F661" s="13"/>
      <c r="G661" s="13"/>
      <c r="H661" s="13"/>
      <c r="I661" s="14"/>
      <c r="J661" s="13"/>
      <c r="K661" s="13"/>
    </row>
    <row r="662" spans="1:11" ht="15" customHeight="1" x14ac:dyDescent="0.25">
      <c r="A662" s="13"/>
      <c r="B662" s="13"/>
      <c r="C662" s="13"/>
      <c r="D662" s="12"/>
      <c r="E662" s="12"/>
      <c r="F662" s="13"/>
      <c r="G662" s="13"/>
      <c r="H662" s="13"/>
      <c r="I662" s="14"/>
      <c r="J662" s="13"/>
      <c r="K662" s="13"/>
    </row>
    <row r="663" spans="1:11" ht="15" customHeight="1" x14ac:dyDescent="0.25">
      <c r="A663" s="13"/>
      <c r="B663" s="13"/>
      <c r="C663" s="13"/>
      <c r="D663" s="12"/>
      <c r="E663" s="12"/>
      <c r="F663" s="13"/>
      <c r="G663" s="13"/>
      <c r="H663" s="13"/>
      <c r="I663" s="14"/>
      <c r="J663" s="13"/>
      <c r="K663" s="13"/>
    </row>
    <row r="664" spans="1:11" ht="15" customHeight="1" x14ac:dyDescent="0.25">
      <c r="A664" s="13"/>
      <c r="B664" s="13"/>
      <c r="C664" s="13"/>
      <c r="D664" s="12"/>
      <c r="E664" s="12"/>
      <c r="F664" s="13"/>
      <c r="G664" s="13"/>
      <c r="H664" s="13"/>
      <c r="I664" s="14"/>
      <c r="J664" s="13"/>
      <c r="K664" s="13"/>
    </row>
    <row r="665" spans="1:11" ht="15" customHeight="1" x14ac:dyDescent="0.25">
      <c r="A665" s="13"/>
      <c r="B665" s="13"/>
      <c r="C665" s="13"/>
      <c r="D665" s="12"/>
      <c r="E665" s="12"/>
      <c r="F665" s="13"/>
      <c r="G665" s="13"/>
      <c r="H665" s="13"/>
      <c r="I665" s="14"/>
      <c r="J665" s="13"/>
      <c r="K665" s="13"/>
    </row>
    <row r="666" spans="1:11" ht="15" customHeight="1" x14ac:dyDescent="0.25">
      <c r="A666" s="13"/>
      <c r="B666" s="13"/>
      <c r="C666" s="13"/>
      <c r="D666" s="12"/>
      <c r="E666" s="12"/>
      <c r="F666" s="13"/>
      <c r="G666" s="13"/>
      <c r="H666" s="13"/>
      <c r="I666" s="14"/>
      <c r="J666" s="13"/>
      <c r="K666" s="13"/>
    </row>
    <row r="667" spans="1:11" ht="15" customHeight="1" x14ac:dyDescent="0.25">
      <c r="A667" s="13"/>
      <c r="B667" s="13"/>
      <c r="C667" s="13"/>
      <c r="D667" s="12"/>
      <c r="E667" s="12"/>
      <c r="F667" s="13"/>
      <c r="G667" s="13"/>
      <c r="H667" s="13"/>
      <c r="I667" s="14"/>
      <c r="J667" s="13"/>
      <c r="K667" s="13"/>
    </row>
    <row r="668" spans="1:11" ht="15" customHeight="1" x14ac:dyDescent="0.25">
      <c r="A668" s="13"/>
      <c r="B668" s="13"/>
      <c r="C668" s="13"/>
      <c r="D668" s="12"/>
      <c r="E668" s="12"/>
      <c r="F668" s="13"/>
      <c r="G668" s="13"/>
      <c r="H668" s="13"/>
      <c r="I668" s="14"/>
      <c r="J668" s="13"/>
      <c r="K668" s="13"/>
    </row>
    <row r="669" spans="1:11" ht="15" customHeight="1" x14ac:dyDescent="0.25">
      <c r="A669" s="13"/>
      <c r="B669" s="13"/>
      <c r="C669" s="13"/>
      <c r="D669" s="12"/>
      <c r="E669" s="12"/>
      <c r="F669" s="13"/>
      <c r="G669" s="13"/>
      <c r="H669" s="13"/>
      <c r="I669" s="14"/>
      <c r="J669" s="13"/>
      <c r="K669" s="13"/>
    </row>
    <row r="670" spans="1:11" ht="15" customHeight="1" x14ac:dyDescent="0.25">
      <c r="A670" s="13"/>
      <c r="B670" s="13"/>
      <c r="C670" s="13"/>
      <c r="D670" s="12"/>
      <c r="E670" s="12"/>
      <c r="F670" s="13"/>
      <c r="G670" s="13"/>
      <c r="H670" s="13"/>
      <c r="I670" s="14"/>
      <c r="J670" s="13"/>
      <c r="K670" s="13"/>
    </row>
    <row r="671" spans="1:11" ht="15" customHeight="1" x14ac:dyDescent="0.25">
      <c r="A671" s="13"/>
      <c r="B671" s="13"/>
      <c r="C671" s="13"/>
      <c r="D671" s="12"/>
      <c r="E671" s="12"/>
      <c r="F671" s="13"/>
      <c r="G671" s="13"/>
      <c r="H671" s="13"/>
      <c r="I671" s="14"/>
      <c r="J671" s="13"/>
      <c r="K671" s="13"/>
    </row>
    <row r="672" spans="1:11" ht="15" customHeight="1" x14ac:dyDescent="0.25">
      <c r="A672" s="13"/>
      <c r="B672" s="13"/>
      <c r="C672" s="13"/>
      <c r="D672" s="12"/>
      <c r="E672" s="12"/>
      <c r="F672" s="13"/>
      <c r="G672" s="13"/>
      <c r="H672" s="13"/>
      <c r="I672" s="14"/>
      <c r="J672" s="13"/>
      <c r="K672" s="13"/>
    </row>
    <row r="673" spans="1:11" ht="15" customHeight="1" x14ac:dyDescent="0.25">
      <c r="A673" s="13"/>
      <c r="B673" s="13"/>
      <c r="C673" s="13"/>
      <c r="D673" s="12"/>
      <c r="E673" s="12"/>
      <c r="F673" s="13"/>
      <c r="G673" s="13"/>
      <c r="H673" s="13"/>
      <c r="I673" s="14"/>
      <c r="J673" s="13"/>
      <c r="K673" s="13"/>
    </row>
    <row r="674" spans="1:11" ht="15" customHeight="1" x14ac:dyDescent="0.25">
      <c r="A674" s="13"/>
      <c r="B674" s="13"/>
      <c r="C674" s="13"/>
      <c r="D674" s="12"/>
      <c r="E674" s="12"/>
      <c r="F674" s="13"/>
      <c r="G674" s="13"/>
      <c r="H674" s="13"/>
      <c r="I674" s="14"/>
      <c r="J674" s="13"/>
      <c r="K674" s="13"/>
    </row>
    <row r="675" spans="1:11" ht="15" customHeight="1" x14ac:dyDescent="0.25">
      <c r="A675" s="13"/>
      <c r="B675" s="13"/>
      <c r="C675" s="13"/>
      <c r="D675" s="12"/>
      <c r="E675" s="12"/>
      <c r="F675" s="13"/>
      <c r="G675" s="13"/>
      <c r="H675" s="13"/>
      <c r="I675" s="14"/>
      <c r="J675" s="13"/>
      <c r="K675" s="13"/>
    </row>
    <row r="676" spans="1:11" ht="15" customHeight="1" x14ac:dyDescent="0.25">
      <c r="A676" s="13"/>
      <c r="B676" s="13"/>
      <c r="C676" s="13"/>
      <c r="D676" s="12"/>
      <c r="E676" s="12"/>
      <c r="F676" s="13"/>
      <c r="G676" s="13"/>
      <c r="H676" s="13"/>
      <c r="I676" s="14"/>
      <c r="J676" s="13"/>
      <c r="K676" s="13"/>
    </row>
    <row r="677" spans="1:11" ht="15" customHeight="1" x14ac:dyDescent="0.25">
      <c r="A677" s="13"/>
      <c r="B677" s="13"/>
      <c r="C677" s="13"/>
      <c r="D677" s="12"/>
      <c r="E677" s="12"/>
      <c r="F677" s="13"/>
      <c r="G677" s="13"/>
      <c r="H677" s="13"/>
      <c r="I677" s="14"/>
      <c r="J677" s="13"/>
      <c r="K677" s="13"/>
    </row>
    <row r="678" spans="1:11" ht="15" customHeight="1" x14ac:dyDescent="0.25">
      <c r="A678" s="13"/>
      <c r="B678" s="13"/>
      <c r="C678" s="13"/>
      <c r="D678" s="12"/>
      <c r="E678" s="12"/>
      <c r="F678" s="13"/>
      <c r="G678" s="13"/>
      <c r="H678" s="13"/>
      <c r="I678" s="14"/>
      <c r="J678" s="13"/>
      <c r="K678" s="13"/>
    </row>
    <row r="679" spans="1:11" ht="15" customHeight="1" x14ac:dyDescent="0.25">
      <c r="A679" s="13"/>
      <c r="B679" s="13"/>
      <c r="C679" s="13"/>
      <c r="D679" s="12"/>
      <c r="E679" s="12"/>
      <c r="F679" s="13"/>
      <c r="G679" s="13"/>
      <c r="H679" s="13"/>
      <c r="I679" s="14"/>
      <c r="J679" s="13"/>
      <c r="K679" s="13"/>
    </row>
    <row r="680" spans="1:11" ht="15" customHeight="1" x14ac:dyDescent="0.25">
      <c r="A680" s="13"/>
      <c r="B680" s="13"/>
      <c r="C680" s="13"/>
      <c r="D680" s="12"/>
      <c r="E680" s="12"/>
      <c r="F680" s="13"/>
      <c r="G680" s="13"/>
      <c r="H680" s="13"/>
      <c r="I680" s="14"/>
      <c r="J680" s="13"/>
      <c r="K680" s="13"/>
    </row>
    <row r="681" spans="1:11" ht="15" customHeight="1" x14ac:dyDescent="0.25">
      <c r="A681" s="13"/>
      <c r="B681" s="13"/>
      <c r="C681" s="13"/>
      <c r="D681" s="12"/>
      <c r="E681" s="12"/>
      <c r="F681" s="13"/>
      <c r="G681" s="13"/>
      <c r="H681" s="13"/>
      <c r="I681" s="14"/>
      <c r="J681" s="13"/>
      <c r="K681" s="13"/>
    </row>
    <row r="682" spans="1:11" ht="15" customHeight="1" x14ac:dyDescent="0.25">
      <c r="A682" s="13"/>
      <c r="B682" s="13"/>
      <c r="C682" s="13"/>
      <c r="D682" s="12"/>
      <c r="E682" s="12"/>
      <c r="F682" s="13"/>
      <c r="G682" s="13"/>
      <c r="H682" s="13"/>
      <c r="I682" s="14"/>
      <c r="J682" s="13"/>
      <c r="K682" s="13"/>
    </row>
    <row r="683" spans="1:11" ht="15" customHeight="1" x14ac:dyDescent="0.25">
      <c r="A683" s="13"/>
      <c r="B683" s="13"/>
      <c r="C683" s="13"/>
      <c r="D683" s="12"/>
      <c r="E683" s="12"/>
      <c r="F683" s="13"/>
      <c r="G683" s="13"/>
      <c r="H683" s="13"/>
      <c r="I683" s="14"/>
      <c r="J683" s="13"/>
      <c r="K683" s="13"/>
    </row>
    <row r="684" spans="1:11" ht="15" customHeight="1" x14ac:dyDescent="0.25">
      <c r="A684" s="13"/>
      <c r="B684" s="13"/>
      <c r="C684" s="13"/>
      <c r="D684" s="12"/>
      <c r="E684" s="12"/>
      <c r="F684" s="13"/>
      <c r="G684" s="13"/>
      <c r="H684" s="13"/>
      <c r="I684" s="14"/>
      <c r="J684" s="13"/>
      <c r="K684" s="13"/>
    </row>
    <row r="685" spans="1:11" ht="15" customHeight="1" x14ac:dyDescent="0.25">
      <c r="A685" s="13"/>
      <c r="B685" s="13"/>
      <c r="C685" s="13"/>
      <c r="D685" s="12"/>
      <c r="E685" s="12"/>
      <c r="F685" s="13"/>
      <c r="G685" s="13"/>
      <c r="H685" s="13"/>
      <c r="I685" s="14"/>
      <c r="J685" s="13"/>
      <c r="K685" s="13"/>
    </row>
    <row r="686" spans="1:11" ht="15" customHeight="1" x14ac:dyDescent="0.25">
      <c r="A686" s="13"/>
      <c r="B686" s="13"/>
      <c r="C686" s="13"/>
      <c r="D686" s="12"/>
      <c r="E686" s="12"/>
      <c r="F686" s="13"/>
      <c r="G686" s="13"/>
      <c r="H686" s="13"/>
      <c r="I686" s="14"/>
      <c r="J686" s="13"/>
      <c r="K686" s="13"/>
    </row>
    <row r="687" spans="1:11" ht="15" customHeight="1" x14ac:dyDescent="0.25">
      <c r="A687" s="13"/>
      <c r="B687" s="13"/>
      <c r="C687" s="13"/>
      <c r="D687" s="12"/>
      <c r="E687" s="12"/>
      <c r="F687" s="13"/>
      <c r="G687" s="13"/>
      <c r="H687" s="13"/>
      <c r="I687" s="14"/>
      <c r="J687" s="13"/>
      <c r="K687" s="13"/>
    </row>
    <row r="688" spans="1:11" ht="15" customHeight="1" x14ac:dyDescent="0.25">
      <c r="A688" s="13"/>
      <c r="B688" s="13"/>
      <c r="C688" s="13"/>
      <c r="D688" s="12"/>
      <c r="E688" s="12"/>
      <c r="F688" s="13"/>
      <c r="G688" s="13"/>
      <c r="H688" s="13"/>
      <c r="I688" s="14"/>
      <c r="J688" s="13"/>
      <c r="K688" s="13"/>
    </row>
    <row r="689" spans="1:11" ht="15" customHeight="1" x14ac:dyDescent="0.25">
      <c r="A689" s="13"/>
      <c r="B689" s="13"/>
      <c r="C689" s="13"/>
      <c r="D689" s="12"/>
      <c r="E689" s="12"/>
      <c r="F689" s="13"/>
      <c r="G689" s="13"/>
      <c r="H689" s="13"/>
      <c r="I689" s="14"/>
      <c r="J689" s="13"/>
      <c r="K689" s="13"/>
    </row>
    <row r="690" spans="1:11" ht="15" customHeight="1" x14ac:dyDescent="0.25">
      <c r="A690" s="13"/>
      <c r="B690" s="13"/>
      <c r="C690" s="13"/>
      <c r="D690" s="12"/>
      <c r="E690" s="12"/>
      <c r="F690" s="13"/>
      <c r="G690" s="13"/>
      <c r="H690" s="13"/>
      <c r="I690" s="14"/>
      <c r="J690" s="13"/>
      <c r="K690" s="13"/>
    </row>
    <row r="691" spans="1:11" ht="15" customHeight="1" x14ac:dyDescent="0.25">
      <c r="A691" s="13"/>
      <c r="B691" s="13"/>
      <c r="C691" s="13"/>
      <c r="D691" s="12"/>
      <c r="E691" s="12"/>
      <c r="F691" s="13"/>
      <c r="G691" s="13"/>
      <c r="H691" s="13"/>
      <c r="I691" s="14"/>
      <c r="J691" s="13"/>
      <c r="K691" s="13"/>
    </row>
    <row r="692" spans="1:11" ht="15" customHeight="1" x14ac:dyDescent="0.25">
      <c r="A692" s="13"/>
      <c r="B692" s="13"/>
      <c r="C692" s="13"/>
      <c r="D692" s="12"/>
      <c r="E692" s="12"/>
      <c r="F692" s="13"/>
      <c r="G692" s="13"/>
      <c r="H692" s="13"/>
      <c r="I692" s="14"/>
      <c r="J692" s="13"/>
      <c r="K692" s="13"/>
    </row>
    <row r="693" spans="1:11" ht="15" customHeight="1" x14ac:dyDescent="0.25">
      <c r="A693" s="13"/>
      <c r="B693" s="13"/>
      <c r="C693" s="13"/>
      <c r="D693" s="12"/>
      <c r="E693" s="12"/>
      <c r="F693" s="13"/>
      <c r="G693" s="13"/>
      <c r="H693" s="13"/>
      <c r="I693" s="14"/>
      <c r="J693" s="13"/>
      <c r="K693" s="13"/>
    </row>
    <row r="694" spans="1:11" ht="15" customHeight="1" x14ac:dyDescent="0.25">
      <c r="A694" s="13"/>
      <c r="B694" s="13"/>
      <c r="C694" s="13"/>
      <c r="D694" s="12"/>
      <c r="E694" s="12"/>
      <c r="F694" s="13"/>
      <c r="G694" s="13"/>
      <c r="H694" s="13"/>
      <c r="I694" s="14"/>
      <c r="J694" s="13"/>
      <c r="K694" s="13"/>
    </row>
    <row r="695" spans="1:11" ht="15" customHeight="1" x14ac:dyDescent="0.25">
      <c r="A695" s="13"/>
      <c r="B695" s="13"/>
      <c r="C695" s="13"/>
      <c r="D695" s="12"/>
      <c r="E695" s="12"/>
      <c r="F695" s="13"/>
      <c r="G695" s="13"/>
      <c r="H695" s="13"/>
      <c r="I695" s="14"/>
      <c r="J695" s="13"/>
      <c r="K695" s="13"/>
    </row>
    <row r="696" spans="1:11" ht="15" customHeight="1" x14ac:dyDescent="0.25">
      <c r="A696" s="13"/>
      <c r="B696" s="13"/>
      <c r="C696" s="13"/>
      <c r="D696" s="12"/>
      <c r="E696" s="12"/>
      <c r="F696" s="13"/>
      <c r="G696" s="13"/>
      <c r="H696" s="13"/>
      <c r="I696" s="14"/>
      <c r="J696" s="13"/>
      <c r="K696" s="13"/>
    </row>
    <row r="697" spans="1:11" ht="15" customHeight="1" x14ac:dyDescent="0.25">
      <c r="A697" s="13"/>
      <c r="B697" s="13"/>
      <c r="C697" s="13"/>
      <c r="D697" s="12"/>
      <c r="E697" s="12"/>
      <c r="F697" s="13"/>
      <c r="G697" s="13"/>
      <c r="H697" s="13"/>
      <c r="I697" s="14"/>
      <c r="J697" s="13"/>
      <c r="K697" s="13"/>
    </row>
    <row r="698" spans="1:11" ht="15" customHeight="1" x14ac:dyDescent="0.25">
      <c r="A698" s="13"/>
      <c r="B698" s="13"/>
      <c r="C698" s="13"/>
      <c r="D698" s="12"/>
      <c r="E698" s="12"/>
      <c r="F698" s="13"/>
      <c r="G698" s="13"/>
      <c r="H698" s="13"/>
      <c r="I698" s="14"/>
      <c r="J698" s="13"/>
      <c r="K698" s="13"/>
    </row>
    <row r="699" spans="1:11" ht="15" customHeight="1" x14ac:dyDescent="0.25">
      <c r="A699" s="13"/>
      <c r="B699" s="13"/>
      <c r="C699" s="13"/>
      <c r="D699" s="12"/>
      <c r="E699" s="12"/>
      <c r="F699" s="13"/>
      <c r="G699" s="13"/>
      <c r="H699" s="13"/>
      <c r="I699" s="14"/>
      <c r="J699" s="13"/>
      <c r="K699" s="13"/>
    </row>
    <row r="700" spans="1:11" ht="15" customHeight="1" x14ac:dyDescent="0.25">
      <c r="A700" s="13"/>
      <c r="B700" s="13"/>
      <c r="C700" s="13"/>
      <c r="D700" s="12"/>
      <c r="E700" s="12"/>
      <c r="F700" s="13"/>
      <c r="G700" s="13"/>
      <c r="H700" s="13"/>
      <c r="I700" s="14"/>
      <c r="J700" s="13"/>
      <c r="K700" s="13"/>
    </row>
    <row r="701" spans="1:11" ht="15" customHeight="1" x14ac:dyDescent="0.25">
      <c r="A701" s="13"/>
      <c r="B701" s="13"/>
      <c r="C701" s="13"/>
      <c r="D701" s="12"/>
      <c r="E701" s="12"/>
      <c r="F701" s="13"/>
      <c r="G701" s="13"/>
      <c r="H701" s="13"/>
      <c r="I701" s="14"/>
      <c r="J701" s="13"/>
      <c r="K701" s="13"/>
    </row>
    <row r="702" spans="1:11" ht="15" customHeight="1" x14ac:dyDescent="0.25">
      <c r="A702" s="13"/>
      <c r="B702" s="13"/>
      <c r="C702" s="13"/>
      <c r="D702" s="12"/>
      <c r="E702" s="12"/>
      <c r="F702" s="13"/>
      <c r="G702" s="13"/>
      <c r="H702" s="13"/>
      <c r="I702" s="14"/>
      <c r="J702" s="13"/>
      <c r="K702" s="13"/>
    </row>
    <row r="703" spans="1:11" ht="15" customHeight="1" x14ac:dyDescent="0.25">
      <c r="A703" s="13"/>
      <c r="B703" s="13"/>
      <c r="C703" s="13"/>
      <c r="D703" s="12"/>
      <c r="E703" s="12"/>
      <c r="F703" s="13"/>
      <c r="G703" s="13"/>
      <c r="H703" s="13"/>
      <c r="I703" s="14"/>
      <c r="J703" s="13"/>
      <c r="K703" s="13"/>
    </row>
    <row r="704" spans="1:11" ht="15" customHeight="1" x14ac:dyDescent="0.25">
      <c r="A704" s="13"/>
      <c r="B704" s="13"/>
      <c r="C704" s="13"/>
      <c r="D704" s="12"/>
      <c r="E704" s="12"/>
      <c r="F704" s="13"/>
      <c r="G704" s="13"/>
      <c r="H704" s="13"/>
      <c r="I704" s="14"/>
      <c r="J704" s="13"/>
      <c r="K704" s="13"/>
    </row>
    <row r="705" spans="1:11" ht="15" customHeight="1" x14ac:dyDescent="0.25">
      <c r="A705" s="13"/>
      <c r="B705" s="13"/>
      <c r="C705" s="13"/>
      <c r="D705" s="12"/>
      <c r="E705" s="12"/>
      <c r="F705" s="13"/>
      <c r="G705" s="13"/>
      <c r="H705" s="13"/>
      <c r="I705" s="14"/>
      <c r="J705" s="13"/>
      <c r="K705" s="13"/>
    </row>
    <row r="706" spans="1:11" ht="15" customHeight="1" x14ac:dyDescent="0.25">
      <c r="A706" s="13"/>
      <c r="B706" s="13"/>
      <c r="C706" s="13"/>
      <c r="D706" s="12"/>
      <c r="E706" s="12"/>
      <c r="F706" s="13"/>
      <c r="G706" s="13"/>
      <c r="H706" s="13"/>
      <c r="I706" s="14"/>
      <c r="J706" s="13"/>
      <c r="K706" s="13"/>
    </row>
    <row r="707" spans="1:11" ht="15" customHeight="1" x14ac:dyDescent="0.25">
      <c r="A707" s="13"/>
      <c r="B707" s="13"/>
      <c r="C707" s="13"/>
      <c r="D707" s="12"/>
      <c r="E707" s="12"/>
      <c r="F707" s="13"/>
      <c r="G707" s="13"/>
      <c r="H707" s="13"/>
      <c r="I707" s="14"/>
      <c r="J707" s="13"/>
      <c r="K707" s="13"/>
    </row>
    <row r="708" spans="1:11" ht="15" customHeight="1" x14ac:dyDescent="0.25">
      <c r="A708" s="13"/>
      <c r="B708" s="13"/>
      <c r="C708" s="13"/>
      <c r="D708" s="12"/>
      <c r="E708" s="12"/>
      <c r="F708" s="13"/>
      <c r="G708" s="13"/>
      <c r="H708" s="13"/>
      <c r="I708" s="14"/>
      <c r="J708" s="13"/>
      <c r="K708" s="13"/>
    </row>
    <row r="709" spans="1:11" ht="15" customHeight="1" x14ac:dyDescent="0.25">
      <c r="A709" s="13"/>
      <c r="B709" s="13"/>
      <c r="C709" s="13"/>
      <c r="D709" s="12"/>
      <c r="E709" s="12"/>
      <c r="F709" s="13"/>
      <c r="G709" s="13"/>
      <c r="H709" s="13"/>
      <c r="I709" s="14"/>
      <c r="J709" s="13"/>
      <c r="K709" s="13"/>
    </row>
    <row r="710" spans="1:11" ht="15" customHeight="1" x14ac:dyDescent="0.25">
      <c r="A710" s="13"/>
      <c r="B710" s="13"/>
      <c r="C710" s="13"/>
      <c r="D710" s="12"/>
      <c r="E710" s="12"/>
      <c r="F710" s="13"/>
      <c r="G710" s="13"/>
      <c r="H710" s="13"/>
      <c r="I710" s="14"/>
      <c r="J710" s="13"/>
      <c r="K710" s="13"/>
    </row>
    <row r="711" spans="1:11" ht="15" customHeight="1" x14ac:dyDescent="0.25">
      <c r="A711" s="13"/>
      <c r="B711" s="13"/>
      <c r="C711" s="13"/>
      <c r="D711" s="12"/>
      <c r="E711" s="12"/>
      <c r="F711" s="13"/>
      <c r="G711" s="13"/>
      <c r="H711" s="13"/>
      <c r="I711" s="14"/>
      <c r="J711" s="13"/>
      <c r="K711" s="13"/>
    </row>
    <row r="712" spans="1:11" ht="15" customHeight="1" x14ac:dyDescent="0.25">
      <c r="A712" s="13"/>
      <c r="B712" s="13"/>
      <c r="C712" s="13"/>
      <c r="D712" s="12"/>
      <c r="E712" s="12"/>
      <c r="F712" s="13"/>
      <c r="G712" s="13"/>
      <c r="H712" s="13"/>
      <c r="I712" s="14"/>
      <c r="J712" s="13"/>
      <c r="K712" s="13"/>
    </row>
    <row r="713" spans="1:11" ht="15" customHeight="1" x14ac:dyDescent="0.25">
      <c r="A713" s="13"/>
      <c r="B713" s="13"/>
      <c r="C713" s="13"/>
      <c r="D713" s="12"/>
      <c r="E713" s="12"/>
      <c r="F713" s="13"/>
      <c r="G713" s="13"/>
      <c r="H713" s="13"/>
      <c r="I713" s="14"/>
      <c r="J713" s="13"/>
      <c r="K713" s="13"/>
    </row>
    <row r="714" spans="1:11" ht="15" customHeight="1" x14ac:dyDescent="0.25">
      <c r="A714" s="13"/>
      <c r="B714" s="13"/>
      <c r="C714" s="13"/>
      <c r="D714" s="12"/>
      <c r="E714" s="12"/>
      <c r="F714" s="13"/>
      <c r="G714" s="13"/>
      <c r="H714" s="13"/>
      <c r="I714" s="14"/>
      <c r="J714" s="13"/>
      <c r="K714" s="13"/>
    </row>
    <row r="715" spans="1:11" ht="15" customHeight="1" x14ac:dyDescent="0.25">
      <c r="A715" s="13"/>
      <c r="B715" s="13"/>
      <c r="C715" s="13"/>
      <c r="D715" s="12"/>
      <c r="E715" s="12"/>
      <c r="F715" s="13"/>
      <c r="G715" s="13"/>
      <c r="H715" s="13"/>
      <c r="I715" s="14"/>
      <c r="J715" s="13"/>
      <c r="K715" s="13"/>
    </row>
    <row r="716" spans="1:11" ht="15" customHeight="1" x14ac:dyDescent="0.25">
      <c r="A716" s="13"/>
      <c r="B716" s="13"/>
      <c r="C716" s="13"/>
      <c r="D716" s="12"/>
      <c r="E716" s="12"/>
      <c r="F716" s="13"/>
      <c r="G716" s="13"/>
      <c r="H716" s="13"/>
      <c r="I716" s="14"/>
      <c r="J716" s="13"/>
      <c r="K716" s="13"/>
    </row>
    <row r="717" spans="1:11" ht="15" customHeight="1" x14ac:dyDescent="0.25">
      <c r="A717" s="13"/>
      <c r="B717" s="13"/>
      <c r="C717" s="13"/>
      <c r="D717" s="12"/>
      <c r="E717" s="12"/>
      <c r="F717" s="13"/>
      <c r="G717" s="13"/>
      <c r="H717" s="13"/>
      <c r="I717" s="14"/>
      <c r="J717" s="13"/>
      <c r="K717" s="13"/>
    </row>
    <row r="718" spans="1:11" ht="15" customHeight="1" x14ac:dyDescent="0.25">
      <c r="A718" s="13"/>
      <c r="B718" s="13"/>
      <c r="C718" s="13"/>
      <c r="D718" s="12"/>
      <c r="E718" s="12"/>
      <c r="F718" s="13"/>
      <c r="G718" s="13"/>
      <c r="H718" s="13"/>
      <c r="I718" s="14"/>
      <c r="J718" s="13"/>
      <c r="K718" s="13"/>
    </row>
    <row r="719" spans="1:11" ht="15" customHeight="1" x14ac:dyDescent="0.25">
      <c r="A719" s="13"/>
      <c r="B719" s="13"/>
      <c r="C719" s="13"/>
      <c r="D719" s="12"/>
      <c r="E719" s="12"/>
      <c r="F719" s="13"/>
      <c r="G719" s="13"/>
      <c r="H719" s="13"/>
      <c r="I719" s="14"/>
      <c r="J719" s="13"/>
      <c r="K719" s="13"/>
    </row>
    <row r="720" spans="1:11" ht="15" customHeight="1" x14ac:dyDescent="0.25">
      <c r="A720" s="13"/>
      <c r="B720" s="13"/>
      <c r="C720" s="13"/>
      <c r="D720" s="12"/>
      <c r="E720" s="12"/>
      <c r="F720" s="13"/>
      <c r="G720" s="13"/>
      <c r="H720" s="13"/>
      <c r="I720" s="14"/>
      <c r="J720" s="13"/>
      <c r="K720" s="13"/>
    </row>
    <row r="721" spans="1:11" ht="15" customHeight="1" x14ac:dyDescent="0.25">
      <c r="A721" s="13"/>
      <c r="B721" s="13"/>
      <c r="C721" s="13"/>
      <c r="D721" s="12"/>
      <c r="E721" s="12"/>
      <c r="F721" s="13"/>
      <c r="G721" s="13"/>
      <c r="H721" s="13"/>
      <c r="I721" s="14"/>
      <c r="J721" s="13"/>
      <c r="K721" s="13"/>
    </row>
    <row r="722" spans="1:11" ht="15" customHeight="1" x14ac:dyDescent="0.25">
      <c r="A722" s="13"/>
      <c r="B722" s="13"/>
      <c r="C722" s="13"/>
      <c r="D722" s="12"/>
      <c r="E722" s="12"/>
      <c r="F722" s="13"/>
      <c r="G722" s="13"/>
      <c r="H722" s="13"/>
      <c r="I722" s="14"/>
      <c r="J722" s="13"/>
      <c r="K722" s="13"/>
    </row>
    <row r="723" spans="1:11" ht="15" customHeight="1" x14ac:dyDescent="0.25">
      <c r="A723" s="13"/>
      <c r="B723" s="13"/>
      <c r="C723" s="13"/>
      <c r="D723" s="12"/>
      <c r="E723" s="12"/>
      <c r="F723" s="13"/>
      <c r="G723" s="13"/>
      <c r="H723" s="13"/>
      <c r="I723" s="14"/>
      <c r="J723" s="13"/>
      <c r="K723" s="13"/>
    </row>
    <row r="724" spans="1:11" ht="15" customHeight="1" x14ac:dyDescent="0.25">
      <c r="A724" s="13"/>
      <c r="B724" s="13"/>
      <c r="C724" s="13"/>
      <c r="D724" s="12"/>
      <c r="E724" s="12"/>
      <c r="F724" s="13"/>
      <c r="G724" s="13"/>
      <c r="H724" s="13"/>
      <c r="I724" s="14"/>
      <c r="J724" s="13"/>
      <c r="K724" s="13"/>
    </row>
    <row r="725" spans="1:11" ht="15" customHeight="1" x14ac:dyDescent="0.25">
      <c r="A725" s="13"/>
      <c r="B725" s="13"/>
      <c r="C725" s="13"/>
      <c r="D725" s="12"/>
      <c r="E725" s="12"/>
      <c r="F725" s="13"/>
      <c r="G725" s="13"/>
      <c r="H725" s="13"/>
      <c r="I725" s="14"/>
      <c r="J725" s="13"/>
      <c r="K725" s="13"/>
    </row>
    <row r="726" spans="1:11" ht="15" customHeight="1" x14ac:dyDescent="0.25">
      <c r="A726" s="13"/>
      <c r="B726" s="13"/>
      <c r="C726" s="13"/>
      <c r="D726" s="12"/>
      <c r="E726" s="12"/>
      <c r="F726" s="13"/>
      <c r="G726" s="13"/>
      <c r="H726" s="13"/>
      <c r="I726" s="14"/>
      <c r="J726" s="13"/>
      <c r="K726" s="13"/>
    </row>
    <row r="727" spans="1:11" ht="15" customHeight="1" x14ac:dyDescent="0.25">
      <c r="A727" s="13"/>
      <c r="B727" s="13"/>
      <c r="C727" s="13"/>
      <c r="D727" s="12"/>
      <c r="E727" s="12"/>
      <c r="F727" s="13"/>
      <c r="G727" s="13"/>
      <c r="H727" s="13"/>
      <c r="I727" s="14"/>
      <c r="J727" s="13"/>
      <c r="K727" s="13"/>
    </row>
    <row r="728" spans="1:11" ht="15" customHeight="1" x14ac:dyDescent="0.25">
      <c r="A728" s="13"/>
      <c r="B728" s="13"/>
      <c r="C728" s="13"/>
      <c r="D728" s="12"/>
      <c r="E728" s="12"/>
      <c r="F728" s="13"/>
      <c r="G728" s="13"/>
      <c r="H728" s="13"/>
      <c r="I728" s="14"/>
      <c r="J728" s="13"/>
      <c r="K728" s="13"/>
    </row>
    <row r="729" spans="1:11" ht="15" customHeight="1" x14ac:dyDescent="0.25">
      <c r="A729" s="13"/>
      <c r="B729" s="13"/>
      <c r="C729" s="13"/>
      <c r="D729" s="12"/>
      <c r="E729" s="12"/>
      <c r="F729" s="13"/>
      <c r="G729" s="13"/>
      <c r="H729" s="13"/>
      <c r="I729" s="14"/>
      <c r="J729" s="13"/>
      <c r="K729" s="13"/>
    </row>
    <row r="730" spans="1:11" ht="15" customHeight="1" x14ac:dyDescent="0.25">
      <c r="A730" s="13"/>
      <c r="B730" s="13"/>
      <c r="C730" s="13"/>
      <c r="D730" s="12"/>
      <c r="E730" s="12"/>
      <c r="F730" s="13"/>
      <c r="G730" s="13"/>
      <c r="H730" s="13"/>
      <c r="I730" s="14"/>
      <c r="J730" s="13"/>
      <c r="K730" s="13"/>
    </row>
    <row r="731" spans="1:11" ht="15" customHeight="1" x14ac:dyDescent="0.25">
      <c r="A731" s="13"/>
      <c r="B731" s="13"/>
      <c r="C731" s="13"/>
      <c r="D731" s="12"/>
      <c r="E731" s="12"/>
      <c r="F731" s="13"/>
      <c r="G731" s="13"/>
      <c r="H731" s="13"/>
      <c r="I731" s="14"/>
      <c r="J731" s="13"/>
      <c r="K731" s="13"/>
    </row>
    <row r="732" spans="1:11" ht="15" customHeight="1" x14ac:dyDescent="0.25">
      <c r="A732" s="13"/>
      <c r="B732" s="13"/>
      <c r="C732" s="13"/>
      <c r="D732" s="12"/>
      <c r="E732" s="12"/>
      <c r="F732" s="13"/>
      <c r="G732" s="13"/>
      <c r="H732" s="13"/>
      <c r="I732" s="14"/>
      <c r="J732" s="13"/>
      <c r="K732" s="13"/>
    </row>
    <row r="733" spans="1:11" ht="15" customHeight="1" x14ac:dyDescent="0.25">
      <c r="A733" s="13"/>
      <c r="B733" s="13"/>
      <c r="C733" s="13"/>
      <c r="D733" s="12"/>
      <c r="E733" s="12"/>
      <c r="F733" s="13"/>
      <c r="G733" s="13"/>
      <c r="H733" s="13"/>
      <c r="I733" s="14"/>
      <c r="J733" s="13"/>
      <c r="K733" s="13"/>
    </row>
    <row r="734" spans="1:11" ht="15.75" customHeight="1" x14ac:dyDescent="0.25">
      <c r="A734" s="13"/>
      <c r="B734" s="13"/>
      <c r="C734" s="13"/>
      <c r="D734" s="12"/>
      <c r="E734" s="12"/>
      <c r="F734" s="13"/>
      <c r="G734" s="13"/>
      <c r="H734" s="13"/>
      <c r="I734" s="14"/>
      <c r="J734" s="13"/>
      <c r="K734" s="13"/>
    </row>
    <row r="735" spans="1:11" ht="13.35" customHeight="1" x14ac:dyDescent="0.25">
      <c r="A735" s="15"/>
      <c r="B735" s="15"/>
      <c r="C735" s="15"/>
      <c r="D735" s="15"/>
      <c r="E735" s="15"/>
      <c r="F735" s="15"/>
      <c r="G735" s="15"/>
      <c r="H735" s="15"/>
      <c r="I735" s="15"/>
      <c r="J735" s="15"/>
      <c r="K735" s="15"/>
    </row>
    <row r="736" spans="1:11" x14ac:dyDescent="0.25">
      <c r="A736" s="15"/>
      <c r="B736" s="15"/>
      <c r="C736" s="15"/>
      <c r="D736" s="15"/>
      <c r="E736" s="15"/>
      <c r="F736" s="15"/>
      <c r="G736" s="15"/>
      <c r="H736" s="15"/>
      <c r="I736" s="15"/>
      <c r="J736" s="15"/>
      <c r="K736" s="15"/>
    </row>
    <row r="737" spans="1:11" x14ac:dyDescent="0.25">
      <c r="A737" s="15"/>
      <c r="B737" s="15"/>
      <c r="C737" s="15"/>
      <c r="D737" s="15"/>
      <c r="E737" s="15"/>
      <c r="F737" s="15"/>
      <c r="G737" s="15"/>
      <c r="H737" s="15"/>
      <c r="I737" s="15"/>
      <c r="J737" s="15"/>
      <c r="K737" s="15"/>
    </row>
    <row r="738" spans="1:11" x14ac:dyDescent="0.25">
      <c r="A738" s="15"/>
      <c r="B738" s="15"/>
      <c r="C738" s="15"/>
      <c r="D738" s="15"/>
      <c r="E738" s="15"/>
      <c r="F738" s="15"/>
      <c r="G738" s="15"/>
      <c r="H738" s="15"/>
      <c r="I738" s="15"/>
      <c r="J738" s="15"/>
      <c r="K738" s="15"/>
    </row>
  </sheetData>
  <sheetProtection selectLockedCells="1"/>
  <mergeCells count="2">
    <mergeCell ref="J5:N6"/>
    <mergeCell ref="G21:G27"/>
  </mergeCells>
  <phoneticPr fontId="16" type="noConversion"/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0D9E40-0FC2-4E01-9364-D2602FE5B33B}">
  <sheetPr codeName="Sheet27"/>
  <dimension ref="A1:F15"/>
  <sheetViews>
    <sheetView zoomScale="151" zoomScaleNormal="151" workbookViewId="0">
      <selection activeCell="A4" sqref="A4"/>
    </sheetView>
  </sheetViews>
  <sheetFormatPr defaultRowHeight="15" x14ac:dyDescent="0.25"/>
  <cols>
    <col min="1" max="1" width="22.85546875" bestFit="1" customWidth="1"/>
    <col min="2" max="2" width="9.7109375" bestFit="1" customWidth="1"/>
    <col min="3" max="3" width="16.28515625" bestFit="1" customWidth="1"/>
    <col min="4" max="4" width="17.28515625" bestFit="1" customWidth="1"/>
    <col min="5" max="5" width="13.5703125" bestFit="1" customWidth="1"/>
    <col min="6" max="6" width="12.85546875" bestFit="1" customWidth="1"/>
  </cols>
  <sheetData>
    <row r="1" spans="1:6" x14ac:dyDescent="0.25">
      <c r="A1" s="118" t="s">
        <v>402</v>
      </c>
      <c r="B1" s="118"/>
      <c r="C1" s="118"/>
      <c r="D1" s="118"/>
      <c r="E1" s="118"/>
      <c r="F1" s="118"/>
    </row>
    <row r="2" spans="1:6" x14ac:dyDescent="0.25">
      <c r="A2" s="118"/>
      <c r="B2" s="118"/>
      <c r="C2" s="118"/>
      <c r="D2" s="118"/>
      <c r="E2" s="118"/>
      <c r="F2" s="118"/>
    </row>
    <row r="4" spans="1:6" x14ac:dyDescent="0.25">
      <c r="A4" s="35" t="s">
        <v>109</v>
      </c>
      <c r="B4" s="35" t="s">
        <v>110</v>
      </c>
      <c r="C4" s="35" t="s">
        <v>315</v>
      </c>
      <c r="D4" s="35" t="s">
        <v>316</v>
      </c>
      <c r="E4" s="35" t="s">
        <v>4</v>
      </c>
      <c r="F4" s="35" t="s">
        <v>5</v>
      </c>
    </row>
    <row r="5" spans="1:6" x14ac:dyDescent="0.25">
      <c r="A5" t="s">
        <v>351</v>
      </c>
      <c r="B5">
        <v>82406</v>
      </c>
      <c r="C5">
        <v>12</v>
      </c>
      <c r="D5">
        <v>66</v>
      </c>
      <c r="E5" t="s">
        <v>471</v>
      </c>
    </row>
    <row r="6" spans="1:6" x14ac:dyDescent="0.25">
      <c r="A6" t="s">
        <v>352</v>
      </c>
      <c r="B6">
        <v>60758</v>
      </c>
      <c r="C6">
        <v>123</v>
      </c>
      <c r="D6">
        <v>15</v>
      </c>
      <c r="E6" t="s">
        <v>474</v>
      </c>
    </row>
    <row r="7" spans="1:6" x14ac:dyDescent="0.25">
      <c r="A7" t="s">
        <v>353</v>
      </c>
      <c r="B7">
        <v>58614</v>
      </c>
      <c r="C7">
        <v>12</v>
      </c>
      <c r="D7">
        <v>86</v>
      </c>
      <c r="E7" t="s">
        <v>476</v>
      </c>
    </row>
    <row r="8" spans="1:6" x14ac:dyDescent="0.25">
      <c r="A8" t="s">
        <v>354</v>
      </c>
      <c r="B8">
        <v>50125</v>
      </c>
      <c r="C8">
        <v>312</v>
      </c>
      <c r="D8">
        <v>42</v>
      </c>
      <c r="E8" t="s">
        <v>478</v>
      </c>
    </row>
    <row r="9" spans="1:6" x14ac:dyDescent="0.25">
      <c r="A9" t="s">
        <v>355</v>
      </c>
      <c r="B9">
        <v>99444</v>
      </c>
      <c r="C9">
        <v>31</v>
      </c>
      <c r="D9">
        <v>47</v>
      </c>
      <c r="E9" t="s">
        <v>479</v>
      </c>
    </row>
    <row r="10" spans="1:6" x14ac:dyDescent="0.25">
      <c r="A10" t="s">
        <v>356</v>
      </c>
      <c r="B10">
        <v>52418</v>
      </c>
      <c r="C10">
        <v>23</v>
      </c>
      <c r="D10">
        <v>38</v>
      </c>
      <c r="E10" t="s">
        <v>473</v>
      </c>
    </row>
    <row r="11" spans="1:6" x14ac:dyDescent="0.25">
      <c r="A11" t="s">
        <v>357</v>
      </c>
      <c r="B11">
        <v>11501</v>
      </c>
      <c r="C11">
        <v>123</v>
      </c>
      <c r="D11">
        <v>4</v>
      </c>
      <c r="E11" t="s">
        <v>475</v>
      </c>
    </row>
    <row r="12" spans="1:6" x14ac:dyDescent="0.25">
      <c r="A12" t="s">
        <v>358</v>
      </c>
      <c r="B12">
        <v>99239</v>
      </c>
      <c r="C12">
        <v>123</v>
      </c>
      <c r="D12">
        <v>5</v>
      </c>
      <c r="E12" t="s">
        <v>472</v>
      </c>
    </row>
    <row r="13" spans="1:6" x14ac:dyDescent="0.25">
      <c r="A13" t="s">
        <v>359</v>
      </c>
      <c r="B13">
        <v>64784</v>
      </c>
      <c r="C13">
        <v>123</v>
      </c>
      <c r="D13">
        <v>55</v>
      </c>
      <c r="E13" t="s">
        <v>477</v>
      </c>
    </row>
    <row r="14" spans="1:6" x14ac:dyDescent="0.25">
      <c r="A14" t="s">
        <v>361</v>
      </c>
      <c r="B14">
        <v>40992</v>
      </c>
      <c r="C14">
        <v>312</v>
      </c>
      <c r="D14">
        <v>75</v>
      </c>
      <c r="E14" t="s">
        <v>480</v>
      </c>
    </row>
    <row r="15" spans="1:6" x14ac:dyDescent="0.25">
      <c r="A15" t="s">
        <v>362</v>
      </c>
      <c r="B15">
        <v>89958</v>
      </c>
      <c r="C15">
        <v>312</v>
      </c>
      <c r="D15">
        <v>72</v>
      </c>
      <c r="E15" t="s">
        <v>481</v>
      </c>
    </row>
  </sheetData>
  <mergeCells count="1">
    <mergeCell ref="A1:F2"/>
  </mergeCells>
  <conditionalFormatting sqref="A5:F15">
    <cfRule type="expression" dxfId="1" priority="1" stopIfTrue="1">
      <formula>ISNUMBER(SEARCH("surplus",$E5))</formula>
    </cfRule>
    <cfRule type="expression" dxfId="0" priority="2" stopIfTrue="1">
      <formula>ISNUMBER(SEARCH("shortage",$E5))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46F4F-E5A0-4580-99EC-C75BF0849867}">
  <sheetPr codeName="Sheet31"/>
  <dimension ref="A1"/>
  <sheetViews>
    <sheetView workbookViewId="0">
      <selection activeCell="R45" sqref="R45"/>
    </sheetView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6468D-3E60-4554-8F36-AA1901BA5ABB}">
  <sheetPr codeName="Sheet9"/>
  <dimension ref="A1:B5"/>
  <sheetViews>
    <sheetView workbookViewId="0">
      <selection activeCell="K32" sqref="K32"/>
    </sheetView>
  </sheetViews>
  <sheetFormatPr defaultRowHeight="15" x14ac:dyDescent="0.25"/>
  <cols>
    <col min="1" max="1" width="23.140625" bestFit="1" customWidth="1"/>
    <col min="2" max="2" width="6.140625" bestFit="1" customWidth="1"/>
  </cols>
  <sheetData>
    <row r="1" spans="1:2" x14ac:dyDescent="0.25">
      <c r="A1" t="s">
        <v>317</v>
      </c>
      <c r="B1" t="s">
        <v>318</v>
      </c>
    </row>
    <row r="2" spans="1:2" x14ac:dyDescent="0.25">
      <c r="A2" t="s">
        <v>319</v>
      </c>
      <c r="B2">
        <v>60</v>
      </c>
    </row>
    <row r="3" spans="1:2" x14ac:dyDescent="0.25">
      <c r="A3" t="s">
        <v>320</v>
      </c>
      <c r="B3">
        <v>5</v>
      </c>
    </row>
    <row r="4" spans="1:2" x14ac:dyDescent="0.25">
      <c r="A4" t="s">
        <v>321</v>
      </c>
      <c r="B4">
        <v>150</v>
      </c>
    </row>
    <row r="5" spans="1:2" x14ac:dyDescent="0.25">
      <c r="A5" t="s">
        <v>322</v>
      </c>
      <c r="B5">
        <v>0.35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BC83DF-C972-40CC-8A59-5364CCE485EF}">
  <sheetPr codeName="Sheet11"/>
  <dimension ref="A1:D76"/>
  <sheetViews>
    <sheetView workbookViewId="0">
      <selection activeCell="J31" sqref="J31"/>
    </sheetView>
  </sheetViews>
  <sheetFormatPr defaultRowHeight="15" x14ac:dyDescent="0.25"/>
  <cols>
    <col min="1" max="1" width="14.5703125" bestFit="1" customWidth="1"/>
    <col min="2" max="2" width="23.42578125" bestFit="1" customWidth="1"/>
    <col min="3" max="3" width="9.7109375" bestFit="1" customWidth="1"/>
    <col min="4" max="4" width="19.42578125" customWidth="1"/>
  </cols>
  <sheetData>
    <row r="1" spans="1:4" x14ac:dyDescent="0.25">
      <c r="A1" t="s">
        <v>323</v>
      </c>
      <c r="B1" t="s">
        <v>109</v>
      </c>
      <c r="C1" t="s">
        <v>110</v>
      </c>
      <c r="D1" t="s">
        <v>111</v>
      </c>
    </row>
    <row r="2" spans="1:4" x14ac:dyDescent="0.25">
      <c r="A2" t="s">
        <v>324</v>
      </c>
      <c r="B2" t="s">
        <v>325</v>
      </c>
      <c r="C2">
        <v>19663</v>
      </c>
      <c r="D2">
        <v>11</v>
      </c>
    </row>
    <row r="3" spans="1:4" x14ac:dyDescent="0.25">
      <c r="A3" t="s">
        <v>324</v>
      </c>
      <c r="B3" t="s">
        <v>326</v>
      </c>
      <c r="C3">
        <v>47368</v>
      </c>
      <c r="D3">
        <v>79</v>
      </c>
    </row>
    <row r="4" spans="1:4" x14ac:dyDescent="0.25">
      <c r="A4" t="s">
        <v>324</v>
      </c>
      <c r="B4" t="s">
        <v>327</v>
      </c>
      <c r="C4">
        <v>53452</v>
      </c>
      <c r="D4">
        <v>76</v>
      </c>
    </row>
    <row r="5" spans="1:4" x14ac:dyDescent="0.25">
      <c r="A5" t="s">
        <v>324</v>
      </c>
      <c r="B5" t="s">
        <v>328</v>
      </c>
      <c r="C5">
        <v>79040</v>
      </c>
      <c r="D5">
        <v>94</v>
      </c>
    </row>
    <row r="6" spans="1:4" x14ac:dyDescent="0.25">
      <c r="A6" t="s">
        <v>324</v>
      </c>
      <c r="B6" t="s">
        <v>329</v>
      </c>
      <c r="C6">
        <v>19795</v>
      </c>
      <c r="D6">
        <v>33</v>
      </c>
    </row>
    <row r="7" spans="1:4" x14ac:dyDescent="0.25">
      <c r="A7" t="s">
        <v>324</v>
      </c>
      <c r="B7" t="s">
        <v>330</v>
      </c>
      <c r="C7">
        <v>70055</v>
      </c>
      <c r="D7">
        <v>93</v>
      </c>
    </row>
    <row r="8" spans="1:4" x14ac:dyDescent="0.25">
      <c r="A8" t="s">
        <v>324</v>
      </c>
      <c r="B8" t="s">
        <v>331</v>
      </c>
      <c r="C8">
        <v>62273</v>
      </c>
      <c r="D8">
        <v>66</v>
      </c>
    </row>
    <row r="9" spans="1:4" x14ac:dyDescent="0.25">
      <c r="A9" t="s">
        <v>324</v>
      </c>
      <c r="B9" t="s">
        <v>332</v>
      </c>
      <c r="C9">
        <v>22297</v>
      </c>
      <c r="D9">
        <v>87</v>
      </c>
    </row>
    <row r="10" spans="1:4" x14ac:dyDescent="0.25">
      <c r="A10" t="s">
        <v>324</v>
      </c>
      <c r="B10" t="s">
        <v>333</v>
      </c>
      <c r="C10">
        <v>52582</v>
      </c>
      <c r="D10">
        <v>48</v>
      </c>
    </row>
    <row r="11" spans="1:4" x14ac:dyDescent="0.25">
      <c r="A11" t="s">
        <v>324</v>
      </c>
      <c r="B11" t="s">
        <v>334</v>
      </c>
      <c r="C11">
        <v>50673</v>
      </c>
      <c r="D11">
        <v>58</v>
      </c>
    </row>
    <row r="12" spans="1:4" x14ac:dyDescent="0.25">
      <c r="A12" t="s">
        <v>324</v>
      </c>
      <c r="B12" t="s">
        <v>335</v>
      </c>
      <c r="C12">
        <v>42420</v>
      </c>
      <c r="D12">
        <v>53</v>
      </c>
    </row>
    <row r="13" spans="1:4" x14ac:dyDescent="0.25">
      <c r="A13" t="s">
        <v>324</v>
      </c>
      <c r="B13" t="s">
        <v>336</v>
      </c>
      <c r="C13">
        <v>91974</v>
      </c>
      <c r="D13">
        <v>97</v>
      </c>
    </row>
    <row r="14" spans="1:4" x14ac:dyDescent="0.25">
      <c r="A14" t="s">
        <v>324</v>
      </c>
      <c r="B14" t="s">
        <v>337</v>
      </c>
      <c r="C14">
        <v>83485</v>
      </c>
      <c r="D14">
        <v>53</v>
      </c>
    </row>
    <row r="15" spans="1:4" x14ac:dyDescent="0.25">
      <c r="A15" t="s">
        <v>324</v>
      </c>
      <c r="B15" t="s">
        <v>338</v>
      </c>
      <c r="C15">
        <v>94501</v>
      </c>
      <c r="D15">
        <v>31</v>
      </c>
    </row>
    <row r="16" spans="1:4" x14ac:dyDescent="0.25">
      <c r="A16" t="s">
        <v>324</v>
      </c>
      <c r="B16" t="s">
        <v>339</v>
      </c>
      <c r="C16">
        <v>99173</v>
      </c>
      <c r="D16">
        <v>94</v>
      </c>
    </row>
    <row r="17" spans="1:4" x14ac:dyDescent="0.25">
      <c r="A17" t="s">
        <v>324</v>
      </c>
      <c r="B17" t="s">
        <v>340</v>
      </c>
      <c r="C17">
        <v>71651</v>
      </c>
      <c r="D17">
        <v>6</v>
      </c>
    </row>
    <row r="18" spans="1:4" x14ac:dyDescent="0.25">
      <c r="A18" t="s">
        <v>324</v>
      </c>
      <c r="B18" t="s">
        <v>341</v>
      </c>
      <c r="C18">
        <v>24389</v>
      </c>
      <c r="D18">
        <v>58</v>
      </c>
    </row>
    <row r="19" spans="1:4" x14ac:dyDescent="0.25">
      <c r="A19" t="s">
        <v>324</v>
      </c>
      <c r="B19" t="s">
        <v>342</v>
      </c>
      <c r="C19">
        <v>86632</v>
      </c>
      <c r="D19">
        <v>31</v>
      </c>
    </row>
    <row r="20" spans="1:4" x14ac:dyDescent="0.25">
      <c r="A20" t="s">
        <v>324</v>
      </c>
      <c r="B20" t="s">
        <v>343</v>
      </c>
      <c r="C20">
        <v>90833</v>
      </c>
      <c r="D20">
        <v>17</v>
      </c>
    </row>
    <row r="21" spans="1:4" x14ac:dyDescent="0.25">
      <c r="A21" t="s">
        <v>324</v>
      </c>
      <c r="B21" t="s">
        <v>344</v>
      </c>
      <c r="C21">
        <v>24538</v>
      </c>
      <c r="D21">
        <v>24</v>
      </c>
    </row>
    <row r="22" spans="1:4" x14ac:dyDescent="0.25">
      <c r="A22" t="s">
        <v>324</v>
      </c>
      <c r="B22" t="s">
        <v>345</v>
      </c>
      <c r="C22">
        <v>80201</v>
      </c>
      <c r="D22">
        <v>44</v>
      </c>
    </row>
    <row r="23" spans="1:4" x14ac:dyDescent="0.25">
      <c r="A23" t="s">
        <v>324</v>
      </c>
      <c r="B23" t="s">
        <v>346</v>
      </c>
      <c r="C23">
        <v>13670</v>
      </c>
      <c r="D23">
        <v>12</v>
      </c>
    </row>
    <row r="24" spans="1:4" x14ac:dyDescent="0.25">
      <c r="A24" t="s">
        <v>324</v>
      </c>
      <c r="B24" t="s">
        <v>347</v>
      </c>
      <c r="C24">
        <v>30795</v>
      </c>
      <c r="D24">
        <v>66</v>
      </c>
    </row>
    <row r="25" spans="1:4" x14ac:dyDescent="0.25">
      <c r="A25" t="s">
        <v>324</v>
      </c>
      <c r="B25" t="s">
        <v>348</v>
      </c>
      <c r="C25">
        <v>15727</v>
      </c>
      <c r="D25">
        <v>69</v>
      </c>
    </row>
    <row r="26" spans="1:4" x14ac:dyDescent="0.25">
      <c r="A26" t="s">
        <v>324</v>
      </c>
      <c r="B26" t="s">
        <v>349</v>
      </c>
      <c r="C26">
        <v>84314</v>
      </c>
      <c r="D26">
        <v>56</v>
      </c>
    </row>
    <row r="27" spans="1:4" x14ac:dyDescent="0.25">
      <c r="A27" t="s">
        <v>350</v>
      </c>
      <c r="B27" t="s">
        <v>351</v>
      </c>
      <c r="C27">
        <v>82406</v>
      </c>
      <c r="D27">
        <v>66</v>
      </c>
    </row>
    <row r="28" spans="1:4" x14ac:dyDescent="0.25">
      <c r="A28" t="s">
        <v>350</v>
      </c>
      <c r="B28" t="s">
        <v>352</v>
      </c>
      <c r="C28">
        <v>60758</v>
      </c>
      <c r="D28">
        <v>15</v>
      </c>
    </row>
    <row r="29" spans="1:4" x14ac:dyDescent="0.25">
      <c r="A29" t="s">
        <v>350</v>
      </c>
      <c r="B29" t="s">
        <v>353</v>
      </c>
      <c r="C29">
        <v>58614</v>
      </c>
      <c r="D29">
        <v>86</v>
      </c>
    </row>
    <row r="30" spans="1:4" x14ac:dyDescent="0.25">
      <c r="A30" t="s">
        <v>350</v>
      </c>
      <c r="B30" t="s">
        <v>354</v>
      </c>
      <c r="C30">
        <v>50125</v>
      </c>
      <c r="D30">
        <v>42</v>
      </c>
    </row>
    <row r="31" spans="1:4" x14ac:dyDescent="0.25">
      <c r="A31" t="s">
        <v>350</v>
      </c>
      <c r="B31" t="s">
        <v>355</v>
      </c>
      <c r="C31">
        <v>99444</v>
      </c>
      <c r="D31">
        <v>47</v>
      </c>
    </row>
    <row r="32" spans="1:4" x14ac:dyDescent="0.25">
      <c r="A32" t="s">
        <v>350</v>
      </c>
      <c r="B32" t="s">
        <v>356</v>
      </c>
      <c r="C32">
        <v>52418</v>
      </c>
      <c r="D32">
        <v>38</v>
      </c>
    </row>
    <row r="33" spans="1:4" x14ac:dyDescent="0.25">
      <c r="A33" t="s">
        <v>350</v>
      </c>
      <c r="B33" t="s">
        <v>357</v>
      </c>
      <c r="C33">
        <v>11501</v>
      </c>
      <c r="D33">
        <v>4</v>
      </c>
    </row>
    <row r="34" spans="1:4" x14ac:dyDescent="0.25">
      <c r="A34" t="s">
        <v>350</v>
      </c>
      <c r="B34" t="s">
        <v>358</v>
      </c>
      <c r="C34">
        <v>99239</v>
      </c>
      <c r="D34">
        <v>5</v>
      </c>
    </row>
    <row r="35" spans="1:4" x14ac:dyDescent="0.25">
      <c r="A35" t="s">
        <v>350</v>
      </c>
      <c r="B35" t="s">
        <v>359</v>
      </c>
      <c r="C35">
        <v>64784</v>
      </c>
      <c r="D35">
        <v>55</v>
      </c>
    </row>
    <row r="36" spans="1:4" x14ac:dyDescent="0.25">
      <c r="A36" t="s">
        <v>350</v>
      </c>
      <c r="B36" t="s">
        <v>360</v>
      </c>
      <c r="C36">
        <v>23985</v>
      </c>
      <c r="D36">
        <v>91</v>
      </c>
    </row>
    <row r="37" spans="1:4" x14ac:dyDescent="0.25">
      <c r="A37" t="s">
        <v>350</v>
      </c>
      <c r="B37" t="s">
        <v>361</v>
      </c>
      <c r="C37">
        <v>40992</v>
      </c>
      <c r="D37">
        <v>75</v>
      </c>
    </row>
    <row r="38" spans="1:4" x14ac:dyDescent="0.25">
      <c r="A38" t="s">
        <v>350</v>
      </c>
      <c r="B38" t="s">
        <v>362</v>
      </c>
      <c r="C38">
        <v>89958</v>
      </c>
      <c r="D38">
        <v>72</v>
      </c>
    </row>
    <row r="39" spans="1:4" x14ac:dyDescent="0.25">
      <c r="A39" t="s">
        <v>350</v>
      </c>
      <c r="B39" t="s">
        <v>363</v>
      </c>
      <c r="C39">
        <v>30125</v>
      </c>
      <c r="D39">
        <v>63</v>
      </c>
    </row>
    <row r="40" spans="1:4" x14ac:dyDescent="0.25">
      <c r="A40" t="s">
        <v>350</v>
      </c>
      <c r="B40" t="s">
        <v>364</v>
      </c>
      <c r="C40">
        <v>40552</v>
      </c>
      <c r="D40">
        <v>94</v>
      </c>
    </row>
    <row r="41" spans="1:4" x14ac:dyDescent="0.25">
      <c r="A41" t="s">
        <v>350</v>
      </c>
      <c r="B41" t="s">
        <v>365</v>
      </c>
      <c r="C41">
        <v>70484</v>
      </c>
      <c r="D41">
        <v>47</v>
      </c>
    </row>
    <row r="42" spans="1:4" x14ac:dyDescent="0.25">
      <c r="A42" t="s">
        <v>350</v>
      </c>
      <c r="B42" t="s">
        <v>366</v>
      </c>
      <c r="C42">
        <v>42374</v>
      </c>
      <c r="D42">
        <v>12</v>
      </c>
    </row>
    <row r="43" spans="1:4" x14ac:dyDescent="0.25">
      <c r="A43" t="s">
        <v>350</v>
      </c>
      <c r="B43" t="s">
        <v>367</v>
      </c>
      <c r="C43">
        <v>33768</v>
      </c>
      <c r="D43">
        <v>98</v>
      </c>
    </row>
    <row r="44" spans="1:4" x14ac:dyDescent="0.25">
      <c r="A44" t="s">
        <v>350</v>
      </c>
      <c r="B44" t="s">
        <v>368</v>
      </c>
      <c r="C44">
        <v>57120</v>
      </c>
      <c r="D44">
        <v>98</v>
      </c>
    </row>
    <row r="45" spans="1:4" x14ac:dyDescent="0.25">
      <c r="A45" t="s">
        <v>350</v>
      </c>
      <c r="B45" t="s">
        <v>369</v>
      </c>
      <c r="C45">
        <v>99976</v>
      </c>
      <c r="D45">
        <v>18</v>
      </c>
    </row>
    <row r="46" spans="1:4" x14ac:dyDescent="0.25">
      <c r="A46" t="s">
        <v>350</v>
      </c>
      <c r="B46" t="s">
        <v>370</v>
      </c>
      <c r="C46">
        <v>84790</v>
      </c>
      <c r="D46">
        <v>52</v>
      </c>
    </row>
    <row r="47" spans="1:4" x14ac:dyDescent="0.25">
      <c r="A47" t="s">
        <v>350</v>
      </c>
      <c r="B47" t="s">
        <v>371</v>
      </c>
      <c r="C47">
        <v>89108</v>
      </c>
      <c r="D47">
        <v>7</v>
      </c>
    </row>
    <row r="48" spans="1:4" x14ac:dyDescent="0.25">
      <c r="A48" t="s">
        <v>350</v>
      </c>
      <c r="B48" t="s">
        <v>372</v>
      </c>
      <c r="C48">
        <v>73687</v>
      </c>
      <c r="D48">
        <v>1</v>
      </c>
    </row>
    <row r="49" spans="1:4" x14ac:dyDescent="0.25">
      <c r="A49" t="s">
        <v>350</v>
      </c>
      <c r="B49" t="s">
        <v>360</v>
      </c>
      <c r="C49">
        <v>39467</v>
      </c>
      <c r="D49">
        <v>90</v>
      </c>
    </row>
    <row r="50" spans="1:4" x14ac:dyDescent="0.25">
      <c r="A50" t="s">
        <v>350</v>
      </c>
      <c r="B50" t="s">
        <v>373</v>
      </c>
      <c r="C50">
        <v>75508</v>
      </c>
      <c r="D50">
        <v>18</v>
      </c>
    </row>
    <row r="51" spans="1:4" x14ac:dyDescent="0.25">
      <c r="A51" t="s">
        <v>350</v>
      </c>
      <c r="B51" t="s">
        <v>374</v>
      </c>
      <c r="C51">
        <v>92751</v>
      </c>
      <c r="D51">
        <v>42</v>
      </c>
    </row>
    <row r="52" spans="1:4" x14ac:dyDescent="0.25">
      <c r="A52" t="s">
        <v>375</v>
      </c>
      <c r="B52" t="s">
        <v>376</v>
      </c>
      <c r="C52">
        <v>90254</v>
      </c>
      <c r="D52">
        <v>4</v>
      </c>
    </row>
    <row r="53" spans="1:4" x14ac:dyDescent="0.25">
      <c r="A53" t="s">
        <v>375</v>
      </c>
      <c r="B53" t="s">
        <v>377</v>
      </c>
      <c r="C53">
        <v>68959</v>
      </c>
      <c r="D53">
        <v>61</v>
      </c>
    </row>
    <row r="54" spans="1:4" x14ac:dyDescent="0.25">
      <c r="A54" t="s">
        <v>375</v>
      </c>
      <c r="B54" t="s">
        <v>378</v>
      </c>
      <c r="C54">
        <v>27924</v>
      </c>
      <c r="D54">
        <v>58</v>
      </c>
    </row>
    <row r="55" spans="1:4" x14ac:dyDescent="0.25">
      <c r="A55" t="s">
        <v>375</v>
      </c>
      <c r="B55" t="s">
        <v>379</v>
      </c>
      <c r="C55">
        <v>96394</v>
      </c>
      <c r="D55">
        <v>77</v>
      </c>
    </row>
    <row r="56" spans="1:4" x14ac:dyDescent="0.25">
      <c r="A56" t="s">
        <v>375</v>
      </c>
      <c r="B56" t="s">
        <v>380</v>
      </c>
      <c r="C56">
        <v>16822</v>
      </c>
      <c r="D56">
        <v>7</v>
      </c>
    </row>
    <row r="57" spans="1:4" x14ac:dyDescent="0.25">
      <c r="A57" t="s">
        <v>375</v>
      </c>
      <c r="B57" t="s">
        <v>381</v>
      </c>
      <c r="C57">
        <v>98451</v>
      </c>
      <c r="D57">
        <v>33</v>
      </c>
    </row>
    <row r="58" spans="1:4" x14ac:dyDescent="0.25">
      <c r="A58" t="s">
        <v>375</v>
      </c>
      <c r="B58" t="s">
        <v>382</v>
      </c>
      <c r="C58">
        <v>70341</v>
      </c>
      <c r="D58">
        <v>98</v>
      </c>
    </row>
    <row r="59" spans="1:4" x14ac:dyDescent="0.25">
      <c r="A59" t="s">
        <v>375</v>
      </c>
      <c r="B59" t="s">
        <v>383</v>
      </c>
      <c r="C59">
        <v>61735</v>
      </c>
      <c r="D59">
        <v>85</v>
      </c>
    </row>
    <row r="60" spans="1:4" x14ac:dyDescent="0.25">
      <c r="A60" t="s">
        <v>375</v>
      </c>
      <c r="B60" t="s">
        <v>384</v>
      </c>
      <c r="C60">
        <v>85086</v>
      </c>
      <c r="D60">
        <v>84</v>
      </c>
    </row>
    <row r="61" spans="1:4" x14ac:dyDescent="0.25">
      <c r="A61" t="s">
        <v>375</v>
      </c>
      <c r="B61" t="s">
        <v>385</v>
      </c>
      <c r="C61">
        <v>37943</v>
      </c>
      <c r="D61">
        <v>5</v>
      </c>
    </row>
    <row r="62" spans="1:4" x14ac:dyDescent="0.25">
      <c r="A62" t="s">
        <v>375</v>
      </c>
      <c r="B62" t="s">
        <v>386</v>
      </c>
      <c r="C62">
        <v>61059</v>
      </c>
      <c r="D62">
        <v>65</v>
      </c>
    </row>
    <row r="63" spans="1:4" x14ac:dyDescent="0.25">
      <c r="A63" t="s">
        <v>375</v>
      </c>
      <c r="B63" t="s">
        <v>387</v>
      </c>
      <c r="C63">
        <v>65377</v>
      </c>
      <c r="D63">
        <v>20</v>
      </c>
    </row>
    <row r="64" spans="1:4" x14ac:dyDescent="0.25">
      <c r="A64" t="s">
        <v>375</v>
      </c>
      <c r="B64" t="s">
        <v>388</v>
      </c>
      <c r="C64">
        <v>11654</v>
      </c>
      <c r="D64">
        <v>87</v>
      </c>
    </row>
    <row r="65" spans="1:4" x14ac:dyDescent="0.25">
      <c r="A65" t="s">
        <v>375</v>
      </c>
      <c r="B65" t="s">
        <v>389</v>
      </c>
      <c r="C65">
        <v>67434</v>
      </c>
      <c r="D65">
        <v>76</v>
      </c>
    </row>
    <row r="66" spans="1:4" x14ac:dyDescent="0.25">
      <c r="A66" t="s">
        <v>375</v>
      </c>
      <c r="B66" t="s">
        <v>390</v>
      </c>
      <c r="C66">
        <v>35975</v>
      </c>
      <c r="D66">
        <v>30</v>
      </c>
    </row>
    <row r="67" spans="1:4" x14ac:dyDescent="0.25">
      <c r="A67" t="s">
        <v>375</v>
      </c>
      <c r="B67" t="s">
        <v>391</v>
      </c>
      <c r="C67">
        <v>24020</v>
      </c>
      <c r="D67">
        <v>5</v>
      </c>
    </row>
    <row r="68" spans="1:4" x14ac:dyDescent="0.25">
      <c r="A68" t="s">
        <v>375</v>
      </c>
      <c r="B68" t="s">
        <v>392</v>
      </c>
      <c r="C68">
        <v>44024</v>
      </c>
      <c r="D68">
        <v>92</v>
      </c>
    </row>
    <row r="69" spans="1:4" x14ac:dyDescent="0.25">
      <c r="A69" t="s">
        <v>375</v>
      </c>
      <c r="B69" t="s">
        <v>393</v>
      </c>
      <c r="C69">
        <v>83531</v>
      </c>
      <c r="D69">
        <v>2</v>
      </c>
    </row>
    <row r="70" spans="1:4" x14ac:dyDescent="0.25">
      <c r="A70" t="s">
        <v>375</v>
      </c>
      <c r="B70" t="s">
        <v>394</v>
      </c>
      <c r="C70">
        <v>26694</v>
      </c>
      <c r="D70">
        <v>96</v>
      </c>
    </row>
    <row r="71" spans="1:4" x14ac:dyDescent="0.25">
      <c r="A71" t="s">
        <v>375</v>
      </c>
      <c r="B71" t="s">
        <v>395</v>
      </c>
      <c r="C71">
        <v>65966</v>
      </c>
      <c r="D71">
        <v>67</v>
      </c>
    </row>
    <row r="72" spans="1:4" x14ac:dyDescent="0.25">
      <c r="A72" t="s">
        <v>375</v>
      </c>
      <c r="B72" t="s">
        <v>396</v>
      </c>
      <c r="C72">
        <v>98893</v>
      </c>
      <c r="D72">
        <v>23</v>
      </c>
    </row>
    <row r="73" spans="1:4" x14ac:dyDescent="0.25">
      <c r="A73" t="s">
        <v>375</v>
      </c>
      <c r="B73" t="s">
        <v>397</v>
      </c>
      <c r="C73">
        <v>61325</v>
      </c>
      <c r="D73">
        <v>100</v>
      </c>
    </row>
    <row r="74" spans="1:4" x14ac:dyDescent="0.25">
      <c r="A74" t="s">
        <v>375</v>
      </c>
      <c r="B74" t="s">
        <v>398</v>
      </c>
      <c r="C74">
        <v>55715</v>
      </c>
      <c r="D74">
        <v>90</v>
      </c>
    </row>
    <row r="75" spans="1:4" x14ac:dyDescent="0.25">
      <c r="A75" t="s">
        <v>375</v>
      </c>
      <c r="B75" t="s">
        <v>399</v>
      </c>
      <c r="C75">
        <v>17911</v>
      </c>
      <c r="D75">
        <v>29</v>
      </c>
    </row>
    <row r="76" spans="1:4" x14ac:dyDescent="0.25">
      <c r="A76" t="s">
        <v>375</v>
      </c>
      <c r="B76" t="s">
        <v>400</v>
      </c>
      <c r="C76">
        <v>63763</v>
      </c>
      <c r="D76">
        <v>53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61C6D7-41EF-4224-9A9B-1EEFA85E167F}">
  <sheetPr codeName="Sheet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DD5ED5-B892-4125-86CE-026E9E571E92}">
  <sheetPr codeName="Sheet1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A4804-F37A-4D42-BEDC-2731BFAA0A70}">
  <sheetPr codeName="Sheet12"/>
  <dimension ref="A1:G468"/>
  <sheetViews>
    <sheetView showGridLines="0" workbookViewId="0"/>
  </sheetViews>
  <sheetFormatPr defaultRowHeight="15" x14ac:dyDescent="0.25"/>
  <cols>
    <col min="1" max="2" width="19.140625" bestFit="1" customWidth="1"/>
    <col min="3" max="3" width="15.140625" bestFit="1" customWidth="1"/>
    <col min="4" max="4" width="16.7109375" bestFit="1" customWidth="1"/>
    <col min="5" max="5" width="13.28515625" bestFit="1" customWidth="1"/>
    <col min="6" max="6" width="16.140625" bestFit="1" customWidth="1"/>
    <col min="7" max="7" width="13.42578125" customWidth="1"/>
  </cols>
  <sheetData>
    <row r="1" spans="1:7" x14ac:dyDescent="0.25">
      <c r="A1" s="48" t="s">
        <v>109</v>
      </c>
      <c r="B1" s="48" t="s">
        <v>110</v>
      </c>
      <c r="C1" s="48" t="s">
        <v>417</v>
      </c>
      <c r="D1" s="48" t="s">
        <v>418</v>
      </c>
      <c r="E1" s="48" t="s">
        <v>446</v>
      </c>
      <c r="F1" s="48" t="s">
        <v>447</v>
      </c>
      <c r="G1" s="48" t="s">
        <v>448</v>
      </c>
    </row>
    <row r="2" spans="1:7" x14ac:dyDescent="0.25">
      <c r="A2" s="49" t="s">
        <v>419</v>
      </c>
      <c r="B2" s="49">
        <v>10000</v>
      </c>
      <c r="C2" s="49">
        <v>174</v>
      </c>
      <c r="D2" s="49">
        <v>94</v>
      </c>
      <c r="E2" s="50">
        <v>46038</v>
      </c>
      <c r="F2" s="49">
        <v>7</v>
      </c>
      <c r="G2" s="49">
        <v>11</v>
      </c>
    </row>
    <row r="3" spans="1:7" x14ac:dyDescent="0.25">
      <c r="A3" s="51" t="s">
        <v>420</v>
      </c>
      <c r="B3" s="51">
        <v>10001</v>
      </c>
      <c r="C3" s="51">
        <v>135</v>
      </c>
      <c r="D3" s="51">
        <v>117</v>
      </c>
      <c r="E3" s="52">
        <v>45922</v>
      </c>
      <c r="F3" s="51">
        <v>16</v>
      </c>
      <c r="G3" s="51">
        <v>12</v>
      </c>
    </row>
    <row r="4" spans="1:7" x14ac:dyDescent="0.25">
      <c r="A4" s="49" t="s">
        <v>421</v>
      </c>
      <c r="B4" s="49">
        <v>10002</v>
      </c>
      <c r="C4" s="49">
        <v>185</v>
      </c>
      <c r="D4" s="49">
        <v>65</v>
      </c>
      <c r="E4" s="50">
        <v>45930</v>
      </c>
      <c r="F4" s="49">
        <v>21</v>
      </c>
      <c r="G4" s="49">
        <v>8</v>
      </c>
    </row>
    <row r="5" spans="1:7" x14ac:dyDescent="0.25">
      <c r="A5" s="51" t="s">
        <v>422</v>
      </c>
      <c r="B5" s="51">
        <v>10003</v>
      </c>
      <c r="C5" s="51">
        <v>102</v>
      </c>
      <c r="D5" s="51">
        <v>45</v>
      </c>
      <c r="E5" s="52">
        <v>46060</v>
      </c>
      <c r="F5" s="51">
        <v>8</v>
      </c>
      <c r="G5" s="51">
        <v>6</v>
      </c>
    </row>
    <row r="6" spans="1:7" x14ac:dyDescent="0.25">
      <c r="A6" s="49" t="s">
        <v>423</v>
      </c>
      <c r="B6" s="49">
        <v>10004</v>
      </c>
      <c r="C6" s="49">
        <v>111</v>
      </c>
      <c r="D6" s="49">
        <v>122</v>
      </c>
      <c r="E6" s="50">
        <v>45971</v>
      </c>
      <c r="F6" s="49">
        <v>13</v>
      </c>
      <c r="G6" s="49">
        <v>5</v>
      </c>
    </row>
    <row r="7" spans="1:7" x14ac:dyDescent="0.25">
      <c r="A7" s="51" t="s">
        <v>424</v>
      </c>
      <c r="B7" s="51">
        <v>10005</v>
      </c>
      <c r="C7" s="51">
        <v>176</v>
      </c>
      <c r="D7" s="51">
        <v>58</v>
      </c>
      <c r="E7" s="52">
        <v>46066</v>
      </c>
      <c r="F7" s="51">
        <v>14</v>
      </c>
      <c r="G7" s="51">
        <v>9</v>
      </c>
    </row>
    <row r="8" spans="1:7" x14ac:dyDescent="0.25">
      <c r="A8" s="49" t="s">
        <v>425</v>
      </c>
      <c r="B8" s="49">
        <v>10006</v>
      </c>
      <c r="C8" s="49">
        <v>155</v>
      </c>
      <c r="D8" s="49">
        <v>133</v>
      </c>
      <c r="E8" s="50">
        <v>46047</v>
      </c>
      <c r="F8" s="49">
        <v>9</v>
      </c>
      <c r="G8" s="49">
        <v>8</v>
      </c>
    </row>
    <row r="9" spans="1:7" x14ac:dyDescent="0.25">
      <c r="A9" s="51" t="s">
        <v>426</v>
      </c>
      <c r="B9" s="51">
        <v>10007</v>
      </c>
      <c r="C9" s="51">
        <v>125</v>
      </c>
      <c r="D9" s="51">
        <v>77</v>
      </c>
      <c r="E9" s="52">
        <v>45923</v>
      </c>
      <c r="F9" s="51">
        <v>14</v>
      </c>
      <c r="G9" s="51">
        <v>15</v>
      </c>
    </row>
    <row r="10" spans="1:7" x14ac:dyDescent="0.25">
      <c r="A10" s="49" t="s">
        <v>427</v>
      </c>
      <c r="B10" s="49">
        <v>10008</v>
      </c>
      <c r="C10" s="49">
        <v>125</v>
      </c>
      <c r="D10" s="49">
        <v>86</v>
      </c>
      <c r="E10" s="50">
        <v>46011</v>
      </c>
      <c r="F10" s="49">
        <v>7</v>
      </c>
      <c r="G10" s="49">
        <v>12</v>
      </c>
    </row>
    <row r="11" spans="1:7" x14ac:dyDescent="0.25">
      <c r="A11" s="51" t="s">
        <v>428</v>
      </c>
      <c r="B11" s="51">
        <v>10009</v>
      </c>
      <c r="C11" s="51">
        <v>191</v>
      </c>
      <c r="D11" s="51">
        <v>65</v>
      </c>
      <c r="E11" s="52">
        <v>46066</v>
      </c>
      <c r="F11" s="51">
        <v>10</v>
      </c>
      <c r="G11" s="51">
        <v>6</v>
      </c>
    </row>
    <row r="12" spans="1:7" x14ac:dyDescent="0.25">
      <c r="A12" s="49" t="s">
        <v>429</v>
      </c>
      <c r="B12" s="49">
        <v>10010</v>
      </c>
      <c r="C12" s="49">
        <v>147</v>
      </c>
      <c r="D12" s="49">
        <v>107</v>
      </c>
      <c r="E12" s="50">
        <v>46052</v>
      </c>
      <c r="F12" s="49">
        <v>10</v>
      </c>
      <c r="G12" s="49">
        <v>5</v>
      </c>
    </row>
    <row r="13" spans="1:7" x14ac:dyDescent="0.25">
      <c r="A13" s="51" t="s">
        <v>430</v>
      </c>
      <c r="B13" s="51">
        <v>10011</v>
      </c>
      <c r="C13" s="51">
        <v>197</v>
      </c>
      <c r="D13" s="51">
        <v>61</v>
      </c>
      <c r="E13" s="52">
        <v>46050</v>
      </c>
      <c r="F13" s="51">
        <v>17</v>
      </c>
      <c r="G13" s="51">
        <v>10</v>
      </c>
    </row>
    <row r="14" spans="1:7" x14ac:dyDescent="0.25">
      <c r="A14" s="49" t="s">
        <v>431</v>
      </c>
      <c r="B14" s="49">
        <v>10012</v>
      </c>
      <c r="C14" s="49">
        <v>100</v>
      </c>
      <c r="D14" s="49">
        <v>90</v>
      </c>
      <c r="E14" s="50">
        <v>45929</v>
      </c>
      <c r="F14" s="49">
        <v>18</v>
      </c>
      <c r="G14" s="49">
        <v>11</v>
      </c>
    </row>
    <row r="15" spans="1:7" x14ac:dyDescent="0.25">
      <c r="A15" s="51" t="s">
        <v>432</v>
      </c>
      <c r="B15" s="51">
        <v>10013</v>
      </c>
      <c r="C15" s="51">
        <v>61</v>
      </c>
      <c r="D15" s="51">
        <v>103</v>
      </c>
      <c r="E15" s="52">
        <v>45907</v>
      </c>
      <c r="F15" s="51">
        <v>20</v>
      </c>
      <c r="G15" s="51">
        <v>9</v>
      </c>
    </row>
    <row r="16" spans="1:7" x14ac:dyDescent="0.25">
      <c r="A16" s="49" t="s">
        <v>433</v>
      </c>
      <c r="B16" s="49">
        <v>10014</v>
      </c>
      <c r="C16" s="49">
        <v>138</v>
      </c>
      <c r="D16" s="49">
        <v>52</v>
      </c>
      <c r="E16" s="50">
        <v>45979</v>
      </c>
      <c r="F16" s="49">
        <v>8</v>
      </c>
      <c r="G16" s="49">
        <v>14</v>
      </c>
    </row>
    <row r="18" spans="1:6" x14ac:dyDescent="0.25">
      <c r="A18" s="48" t="s">
        <v>434</v>
      </c>
      <c r="B18" s="48" t="s">
        <v>109</v>
      </c>
      <c r="C18" s="48" t="s">
        <v>110</v>
      </c>
      <c r="D18" s="48" t="s">
        <v>435</v>
      </c>
      <c r="E18" s="48" t="s">
        <v>436</v>
      </c>
      <c r="F18" s="48" t="s">
        <v>437</v>
      </c>
    </row>
    <row r="19" spans="1:6" x14ac:dyDescent="0.25">
      <c r="A19" s="50">
        <v>45859</v>
      </c>
      <c r="B19" s="49" t="s">
        <v>419</v>
      </c>
      <c r="C19" s="49">
        <v>10000</v>
      </c>
      <c r="D19" s="49">
        <v>4</v>
      </c>
      <c r="E19" s="53">
        <v>97.470001220703125</v>
      </c>
      <c r="F19" s="53">
        <v>389.8800048828125</v>
      </c>
    </row>
    <row r="20" spans="1:6" x14ac:dyDescent="0.25">
      <c r="A20" s="52">
        <v>45860</v>
      </c>
      <c r="B20" s="51" t="s">
        <v>419</v>
      </c>
      <c r="C20" s="51">
        <v>10000</v>
      </c>
      <c r="D20" s="51">
        <v>3</v>
      </c>
      <c r="E20" s="54">
        <v>28.770000457763672</v>
      </c>
      <c r="F20" s="54">
        <v>86.310001373291016</v>
      </c>
    </row>
    <row r="21" spans="1:6" x14ac:dyDescent="0.25">
      <c r="A21" s="50">
        <v>45861</v>
      </c>
      <c r="B21" s="49" t="s">
        <v>419</v>
      </c>
      <c r="C21" s="49">
        <v>10000</v>
      </c>
      <c r="D21" s="49">
        <v>3</v>
      </c>
      <c r="E21" s="53">
        <v>99.260002136230469</v>
      </c>
      <c r="F21" s="53">
        <v>297.78000640869141</v>
      </c>
    </row>
    <row r="22" spans="1:6" x14ac:dyDescent="0.25">
      <c r="A22" s="52">
        <v>45862</v>
      </c>
      <c r="B22" s="51" t="s">
        <v>419</v>
      </c>
      <c r="C22" s="51">
        <v>10000</v>
      </c>
      <c r="D22" s="51">
        <v>3</v>
      </c>
      <c r="E22" s="54">
        <v>88.629997253417969</v>
      </c>
      <c r="F22" s="54">
        <v>265.88999176025391</v>
      </c>
    </row>
    <row r="23" spans="1:6" x14ac:dyDescent="0.25">
      <c r="A23" s="50">
        <v>45863</v>
      </c>
      <c r="B23" s="49" t="s">
        <v>419</v>
      </c>
      <c r="C23" s="49">
        <v>10000</v>
      </c>
      <c r="D23" s="49">
        <v>10</v>
      </c>
      <c r="E23" s="53">
        <v>14</v>
      </c>
      <c r="F23" s="53">
        <v>140</v>
      </c>
    </row>
    <row r="24" spans="1:6" x14ac:dyDescent="0.25">
      <c r="A24" s="52">
        <v>45864</v>
      </c>
      <c r="B24" s="51" t="s">
        <v>419</v>
      </c>
      <c r="C24" s="51">
        <v>10000</v>
      </c>
      <c r="D24" s="51">
        <v>4</v>
      </c>
      <c r="E24" s="54">
        <v>42.919998168945313</v>
      </c>
      <c r="F24" s="54">
        <v>171.67999267578125</v>
      </c>
    </row>
    <row r="25" spans="1:6" x14ac:dyDescent="0.25">
      <c r="A25" s="50">
        <v>45865</v>
      </c>
      <c r="B25" s="49" t="s">
        <v>419</v>
      </c>
      <c r="C25" s="49">
        <v>10000</v>
      </c>
      <c r="D25" s="49">
        <v>5</v>
      </c>
      <c r="E25" s="53">
        <v>25.680000305175781</v>
      </c>
      <c r="F25" s="53">
        <v>128.40000152587891</v>
      </c>
    </row>
    <row r="26" spans="1:6" x14ac:dyDescent="0.25">
      <c r="A26" s="52">
        <v>45866</v>
      </c>
      <c r="B26" s="51" t="s">
        <v>419</v>
      </c>
      <c r="C26" s="51">
        <v>10000</v>
      </c>
      <c r="D26" s="51">
        <v>3</v>
      </c>
      <c r="E26" s="54">
        <v>87.110000610351563</v>
      </c>
      <c r="F26" s="54">
        <v>261.33000183105469</v>
      </c>
    </row>
    <row r="27" spans="1:6" x14ac:dyDescent="0.25">
      <c r="A27" s="50">
        <v>45867</v>
      </c>
      <c r="B27" s="49" t="s">
        <v>419</v>
      </c>
      <c r="C27" s="49">
        <v>10000</v>
      </c>
      <c r="D27" s="49">
        <v>7</v>
      </c>
      <c r="E27" s="53">
        <v>35.330001831054688</v>
      </c>
      <c r="F27" s="53">
        <v>247.31001281738281</v>
      </c>
    </row>
    <row r="28" spans="1:6" x14ac:dyDescent="0.25">
      <c r="A28" s="52">
        <v>45868</v>
      </c>
      <c r="B28" s="51" t="s">
        <v>419</v>
      </c>
      <c r="C28" s="51">
        <v>10000</v>
      </c>
      <c r="D28" s="51">
        <v>6</v>
      </c>
      <c r="E28" s="54">
        <v>71.05999755859375</v>
      </c>
      <c r="F28" s="54">
        <v>426.3599853515625</v>
      </c>
    </row>
    <row r="29" spans="1:6" x14ac:dyDescent="0.25">
      <c r="A29" s="50">
        <v>45869</v>
      </c>
      <c r="B29" s="49" t="s">
        <v>419</v>
      </c>
      <c r="C29" s="49">
        <v>10000</v>
      </c>
      <c r="D29" s="49">
        <v>7</v>
      </c>
      <c r="E29" s="53">
        <v>29.809999465942383</v>
      </c>
      <c r="F29" s="53">
        <v>208.66999626159668</v>
      </c>
    </row>
    <row r="30" spans="1:6" x14ac:dyDescent="0.25">
      <c r="A30" s="52">
        <v>45870</v>
      </c>
      <c r="B30" s="51" t="s">
        <v>419</v>
      </c>
      <c r="C30" s="51">
        <v>10000</v>
      </c>
      <c r="D30" s="51">
        <v>7</v>
      </c>
      <c r="E30" s="54">
        <v>38.419998168945313</v>
      </c>
      <c r="F30" s="54">
        <v>268.93998718261719</v>
      </c>
    </row>
    <row r="31" spans="1:6" x14ac:dyDescent="0.25">
      <c r="A31" s="50">
        <v>45871</v>
      </c>
      <c r="B31" s="49" t="s">
        <v>419</v>
      </c>
      <c r="C31" s="49">
        <v>10000</v>
      </c>
      <c r="D31" s="49">
        <v>5</v>
      </c>
      <c r="E31" s="53">
        <v>7.1999998092651367</v>
      </c>
      <c r="F31" s="53">
        <v>35.999999046325684</v>
      </c>
    </row>
    <row r="32" spans="1:6" x14ac:dyDescent="0.25">
      <c r="A32" s="52">
        <v>45872</v>
      </c>
      <c r="B32" s="51" t="s">
        <v>419</v>
      </c>
      <c r="C32" s="51">
        <v>10000</v>
      </c>
      <c r="D32" s="51">
        <v>6</v>
      </c>
      <c r="E32" s="54">
        <v>9.2700004577636719</v>
      </c>
      <c r="F32" s="54">
        <v>55.620002746582031</v>
      </c>
    </row>
    <row r="33" spans="1:6" x14ac:dyDescent="0.25">
      <c r="A33" s="50">
        <v>45873</v>
      </c>
      <c r="B33" s="49" t="s">
        <v>419</v>
      </c>
      <c r="C33" s="49">
        <v>10000</v>
      </c>
      <c r="D33" s="49">
        <v>7</v>
      </c>
      <c r="E33" s="53">
        <v>96.970001220703125</v>
      </c>
      <c r="F33" s="53">
        <v>678.79000854492188</v>
      </c>
    </row>
    <row r="34" spans="1:6" x14ac:dyDescent="0.25">
      <c r="A34" s="52">
        <v>45874</v>
      </c>
      <c r="B34" s="51" t="s">
        <v>419</v>
      </c>
      <c r="C34" s="51">
        <v>10000</v>
      </c>
      <c r="D34" s="51">
        <v>7</v>
      </c>
      <c r="E34" s="54">
        <v>12.560000419616699</v>
      </c>
      <c r="F34" s="54">
        <v>87.920002937316895</v>
      </c>
    </row>
    <row r="35" spans="1:6" x14ac:dyDescent="0.25">
      <c r="A35" s="50">
        <v>45875</v>
      </c>
      <c r="B35" s="49" t="s">
        <v>419</v>
      </c>
      <c r="C35" s="49">
        <v>10000</v>
      </c>
      <c r="D35" s="49">
        <v>3</v>
      </c>
      <c r="E35" s="53">
        <v>17.030000686645508</v>
      </c>
      <c r="F35" s="53">
        <v>51.090002059936523</v>
      </c>
    </row>
    <row r="36" spans="1:6" x14ac:dyDescent="0.25">
      <c r="A36" s="52">
        <v>45876</v>
      </c>
      <c r="B36" s="51" t="s">
        <v>419</v>
      </c>
      <c r="C36" s="51">
        <v>10000</v>
      </c>
      <c r="D36" s="51">
        <v>4</v>
      </c>
      <c r="E36" s="54">
        <v>68.419998168945313</v>
      </c>
      <c r="F36" s="54">
        <v>273.67999267578125</v>
      </c>
    </row>
    <row r="37" spans="1:6" x14ac:dyDescent="0.25">
      <c r="A37" s="50">
        <v>45877</v>
      </c>
      <c r="B37" s="49" t="s">
        <v>419</v>
      </c>
      <c r="C37" s="49">
        <v>10000</v>
      </c>
      <c r="D37" s="49">
        <v>5</v>
      </c>
      <c r="E37" s="53">
        <v>73.400001525878906</v>
      </c>
      <c r="F37" s="53">
        <v>367.00000762939453</v>
      </c>
    </row>
    <row r="38" spans="1:6" x14ac:dyDescent="0.25">
      <c r="A38" s="52">
        <v>45878</v>
      </c>
      <c r="B38" s="51" t="s">
        <v>419</v>
      </c>
      <c r="C38" s="51">
        <v>10000</v>
      </c>
      <c r="D38" s="51">
        <v>8</v>
      </c>
      <c r="E38" s="54">
        <v>34.330001831054688</v>
      </c>
      <c r="F38" s="54">
        <v>274.6400146484375</v>
      </c>
    </row>
    <row r="39" spans="1:6" x14ac:dyDescent="0.25">
      <c r="A39" s="50">
        <v>45879</v>
      </c>
      <c r="B39" s="49" t="s">
        <v>419</v>
      </c>
      <c r="C39" s="49">
        <v>10000</v>
      </c>
      <c r="D39" s="49">
        <v>4</v>
      </c>
      <c r="E39" s="53">
        <v>42.090000152587891</v>
      </c>
      <c r="F39" s="53">
        <v>168.36000061035156</v>
      </c>
    </row>
    <row r="40" spans="1:6" x14ac:dyDescent="0.25">
      <c r="A40" s="52">
        <v>45880</v>
      </c>
      <c r="B40" s="51" t="s">
        <v>419</v>
      </c>
      <c r="C40" s="51">
        <v>10000</v>
      </c>
      <c r="D40" s="51">
        <v>5</v>
      </c>
      <c r="E40" s="54">
        <v>12.680000305175781</v>
      </c>
      <c r="F40" s="54">
        <v>63.400001525878906</v>
      </c>
    </row>
    <row r="41" spans="1:6" x14ac:dyDescent="0.25">
      <c r="A41" s="50">
        <v>45881</v>
      </c>
      <c r="B41" s="49" t="s">
        <v>419</v>
      </c>
      <c r="C41" s="49">
        <v>10000</v>
      </c>
      <c r="D41" s="49">
        <v>2</v>
      </c>
      <c r="E41" s="53">
        <v>86.349998474121094</v>
      </c>
      <c r="F41" s="53">
        <v>172.69999694824219</v>
      </c>
    </row>
    <row r="42" spans="1:6" x14ac:dyDescent="0.25">
      <c r="A42" s="52">
        <v>45882</v>
      </c>
      <c r="B42" s="51" t="s">
        <v>419</v>
      </c>
      <c r="C42" s="51">
        <v>10000</v>
      </c>
      <c r="D42" s="51">
        <v>4</v>
      </c>
      <c r="E42" s="54">
        <v>46.259998321533203</v>
      </c>
      <c r="F42" s="54">
        <v>185.03999328613281</v>
      </c>
    </row>
    <row r="43" spans="1:6" x14ac:dyDescent="0.25">
      <c r="A43" s="50">
        <v>45883</v>
      </c>
      <c r="B43" s="49" t="s">
        <v>419</v>
      </c>
      <c r="C43" s="49">
        <v>10000</v>
      </c>
      <c r="D43" s="49">
        <v>10</v>
      </c>
      <c r="E43" s="53">
        <v>96.5</v>
      </c>
      <c r="F43" s="53">
        <v>965</v>
      </c>
    </row>
    <row r="44" spans="1:6" x14ac:dyDescent="0.25">
      <c r="A44" s="52">
        <v>45884</v>
      </c>
      <c r="B44" s="51" t="s">
        <v>419</v>
      </c>
      <c r="C44" s="51">
        <v>10000</v>
      </c>
      <c r="D44" s="51">
        <v>6</v>
      </c>
      <c r="E44" s="54">
        <v>36.770000457763672</v>
      </c>
      <c r="F44" s="54">
        <v>220.62000274658203</v>
      </c>
    </row>
    <row r="45" spans="1:6" x14ac:dyDescent="0.25">
      <c r="A45" s="50">
        <v>45885</v>
      </c>
      <c r="B45" s="49" t="s">
        <v>419</v>
      </c>
      <c r="C45" s="49">
        <v>10000</v>
      </c>
      <c r="D45" s="49">
        <v>5</v>
      </c>
      <c r="E45" s="53">
        <v>37.919998168945313</v>
      </c>
      <c r="F45" s="53">
        <v>189.59999084472656</v>
      </c>
    </row>
    <row r="46" spans="1:6" x14ac:dyDescent="0.25">
      <c r="A46" s="52">
        <v>45886</v>
      </c>
      <c r="B46" s="51" t="s">
        <v>419</v>
      </c>
      <c r="C46" s="51">
        <v>10000</v>
      </c>
      <c r="D46" s="51">
        <v>6</v>
      </c>
      <c r="E46" s="54">
        <v>85.230003356933594</v>
      </c>
      <c r="F46" s="54">
        <v>511.38002014160156</v>
      </c>
    </row>
    <row r="47" spans="1:6" x14ac:dyDescent="0.25">
      <c r="A47" s="50">
        <v>45887</v>
      </c>
      <c r="B47" s="49" t="s">
        <v>419</v>
      </c>
      <c r="C47" s="49">
        <v>10000</v>
      </c>
      <c r="D47" s="49">
        <v>4</v>
      </c>
      <c r="E47" s="53">
        <v>21.930000305175781</v>
      </c>
      <c r="F47" s="53">
        <v>87.720001220703125</v>
      </c>
    </row>
    <row r="48" spans="1:6" x14ac:dyDescent="0.25">
      <c r="A48" s="52">
        <v>45888</v>
      </c>
      <c r="B48" s="51" t="s">
        <v>419</v>
      </c>
      <c r="C48" s="51">
        <v>10000</v>
      </c>
      <c r="D48" s="51">
        <v>3</v>
      </c>
      <c r="E48" s="54">
        <v>52</v>
      </c>
      <c r="F48" s="54">
        <v>156</v>
      </c>
    </row>
    <row r="49" spans="1:6" x14ac:dyDescent="0.25">
      <c r="A49" s="50">
        <v>45859</v>
      </c>
      <c r="B49" s="49" t="s">
        <v>420</v>
      </c>
      <c r="C49" s="49">
        <v>10001</v>
      </c>
      <c r="D49" s="49">
        <v>5</v>
      </c>
      <c r="E49" s="53">
        <v>72.629997253417969</v>
      </c>
      <c r="F49" s="53">
        <v>363.14998626708984</v>
      </c>
    </row>
    <row r="50" spans="1:6" x14ac:dyDescent="0.25">
      <c r="A50" s="52">
        <v>45860</v>
      </c>
      <c r="B50" s="51" t="s">
        <v>420</v>
      </c>
      <c r="C50" s="51">
        <v>10001</v>
      </c>
      <c r="D50" s="51">
        <v>7</v>
      </c>
      <c r="E50" s="54">
        <v>7.8299999237060547</v>
      </c>
      <c r="F50" s="54">
        <v>54.809999465942383</v>
      </c>
    </row>
    <row r="51" spans="1:6" x14ac:dyDescent="0.25">
      <c r="A51" s="50">
        <v>45861</v>
      </c>
      <c r="B51" s="49" t="s">
        <v>420</v>
      </c>
      <c r="C51" s="49">
        <v>10001</v>
      </c>
      <c r="D51" s="49">
        <v>7</v>
      </c>
      <c r="E51" s="53">
        <v>62</v>
      </c>
      <c r="F51" s="53">
        <v>434</v>
      </c>
    </row>
    <row r="52" spans="1:6" x14ac:dyDescent="0.25">
      <c r="A52" s="52">
        <v>45862</v>
      </c>
      <c r="B52" s="51" t="s">
        <v>420</v>
      </c>
      <c r="C52" s="51">
        <v>10001</v>
      </c>
      <c r="D52" s="51">
        <v>2</v>
      </c>
      <c r="E52" s="54">
        <v>41</v>
      </c>
      <c r="F52" s="54">
        <v>82</v>
      </c>
    </row>
    <row r="53" spans="1:6" x14ac:dyDescent="0.25">
      <c r="A53" s="50">
        <v>45863</v>
      </c>
      <c r="B53" s="49" t="s">
        <v>420</v>
      </c>
      <c r="C53" s="49">
        <v>10001</v>
      </c>
      <c r="D53" s="49">
        <v>6</v>
      </c>
      <c r="E53" s="53">
        <v>23.729999542236328</v>
      </c>
      <c r="F53" s="53">
        <v>142.37999725341797</v>
      </c>
    </row>
    <row r="54" spans="1:6" x14ac:dyDescent="0.25">
      <c r="A54" s="52">
        <v>45864</v>
      </c>
      <c r="B54" s="51" t="s">
        <v>420</v>
      </c>
      <c r="C54" s="51">
        <v>10001</v>
      </c>
      <c r="D54" s="51">
        <v>3</v>
      </c>
      <c r="E54" s="54">
        <v>94.569999694824219</v>
      </c>
      <c r="F54" s="54">
        <v>283.70999908447266</v>
      </c>
    </row>
    <row r="55" spans="1:6" x14ac:dyDescent="0.25">
      <c r="A55" s="50">
        <v>45865</v>
      </c>
      <c r="B55" s="49" t="s">
        <v>420</v>
      </c>
      <c r="C55" s="49">
        <v>10001</v>
      </c>
      <c r="D55" s="49">
        <v>7</v>
      </c>
      <c r="E55" s="53">
        <v>35.549999237060547</v>
      </c>
      <c r="F55" s="53">
        <v>248.84999465942383</v>
      </c>
    </row>
    <row r="56" spans="1:6" x14ac:dyDescent="0.25">
      <c r="A56" s="52">
        <v>45866</v>
      </c>
      <c r="B56" s="51" t="s">
        <v>420</v>
      </c>
      <c r="C56" s="51">
        <v>10001</v>
      </c>
      <c r="D56" s="51">
        <v>8</v>
      </c>
      <c r="E56" s="54">
        <v>56.290000915527344</v>
      </c>
      <c r="F56" s="54">
        <v>450.32000732421875</v>
      </c>
    </row>
    <row r="57" spans="1:6" x14ac:dyDescent="0.25">
      <c r="A57" s="50">
        <v>45867</v>
      </c>
      <c r="B57" s="49" t="s">
        <v>420</v>
      </c>
      <c r="C57" s="49">
        <v>10001</v>
      </c>
      <c r="D57" s="49">
        <v>7</v>
      </c>
      <c r="E57" s="53">
        <v>23.290000915527344</v>
      </c>
      <c r="F57" s="53">
        <v>163.03000640869141</v>
      </c>
    </row>
    <row r="58" spans="1:6" x14ac:dyDescent="0.25">
      <c r="A58" s="52">
        <v>45868</v>
      </c>
      <c r="B58" s="51" t="s">
        <v>420</v>
      </c>
      <c r="C58" s="51">
        <v>10001</v>
      </c>
      <c r="D58" s="51">
        <v>7</v>
      </c>
      <c r="E58" s="54">
        <v>62.720001220703125</v>
      </c>
      <c r="F58" s="54">
        <v>439.04000854492188</v>
      </c>
    </row>
    <row r="59" spans="1:6" x14ac:dyDescent="0.25">
      <c r="A59" s="50">
        <v>45869</v>
      </c>
      <c r="B59" s="49" t="s">
        <v>420</v>
      </c>
      <c r="C59" s="49">
        <v>10001</v>
      </c>
      <c r="D59" s="49">
        <v>7</v>
      </c>
      <c r="E59" s="53">
        <v>53.560001373291016</v>
      </c>
      <c r="F59" s="53">
        <v>374.92000961303711</v>
      </c>
    </row>
    <row r="60" spans="1:6" x14ac:dyDescent="0.25">
      <c r="A60" s="52">
        <v>45870</v>
      </c>
      <c r="B60" s="51" t="s">
        <v>420</v>
      </c>
      <c r="C60" s="51">
        <v>10001</v>
      </c>
      <c r="D60" s="51">
        <v>6</v>
      </c>
      <c r="E60" s="54">
        <v>52.5</v>
      </c>
      <c r="F60" s="54">
        <v>315</v>
      </c>
    </row>
    <row r="61" spans="1:6" x14ac:dyDescent="0.25">
      <c r="A61" s="50">
        <v>45871</v>
      </c>
      <c r="B61" s="49" t="s">
        <v>420</v>
      </c>
      <c r="C61" s="49">
        <v>10001</v>
      </c>
      <c r="D61" s="49">
        <v>6</v>
      </c>
      <c r="E61" s="53">
        <v>91.05999755859375</v>
      </c>
      <c r="F61" s="53">
        <v>546.3599853515625</v>
      </c>
    </row>
    <row r="62" spans="1:6" x14ac:dyDescent="0.25">
      <c r="A62" s="52">
        <v>45872</v>
      </c>
      <c r="B62" s="51" t="s">
        <v>420</v>
      </c>
      <c r="C62" s="51">
        <v>10001</v>
      </c>
      <c r="D62" s="51">
        <v>8</v>
      </c>
      <c r="E62" s="54">
        <v>97.94000244140625</v>
      </c>
      <c r="F62" s="54">
        <v>783.52001953125</v>
      </c>
    </row>
    <row r="63" spans="1:6" x14ac:dyDescent="0.25">
      <c r="A63" s="50">
        <v>45873</v>
      </c>
      <c r="B63" s="49" t="s">
        <v>420</v>
      </c>
      <c r="C63" s="49">
        <v>10001</v>
      </c>
      <c r="D63" s="49">
        <v>11</v>
      </c>
      <c r="E63" s="53">
        <v>24.850000381469727</v>
      </c>
      <c r="F63" s="53">
        <v>273.35000419616699</v>
      </c>
    </row>
    <row r="64" spans="1:6" x14ac:dyDescent="0.25">
      <c r="A64" s="52">
        <v>45874</v>
      </c>
      <c r="B64" s="51" t="s">
        <v>420</v>
      </c>
      <c r="C64" s="51">
        <v>10001</v>
      </c>
      <c r="D64" s="51">
        <v>4</v>
      </c>
      <c r="E64" s="54">
        <v>27.379999160766602</v>
      </c>
      <c r="F64" s="54">
        <v>109.51999664306641</v>
      </c>
    </row>
    <row r="65" spans="1:6" x14ac:dyDescent="0.25">
      <c r="A65" s="50">
        <v>45875</v>
      </c>
      <c r="B65" s="49" t="s">
        <v>420</v>
      </c>
      <c r="C65" s="49">
        <v>10001</v>
      </c>
      <c r="D65" s="49">
        <v>6</v>
      </c>
      <c r="E65" s="53">
        <v>31.989999771118164</v>
      </c>
      <c r="F65" s="53">
        <v>191.93999862670898</v>
      </c>
    </row>
    <row r="66" spans="1:6" x14ac:dyDescent="0.25">
      <c r="A66" s="52">
        <v>45876</v>
      </c>
      <c r="B66" s="51" t="s">
        <v>420</v>
      </c>
      <c r="C66" s="51">
        <v>10001</v>
      </c>
      <c r="D66" s="51">
        <v>4</v>
      </c>
      <c r="E66" s="54">
        <v>9.7399997711181641</v>
      </c>
      <c r="F66" s="54">
        <v>38.959999084472656</v>
      </c>
    </row>
    <row r="67" spans="1:6" x14ac:dyDescent="0.25">
      <c r="A67" s="50">
        <v>45877</v>
      </c>
      <c r="B67" s="49" t="s">
        <v>420</v>
      </c>
      <c r="C67" s="49">
        <v>10001</v>
      </c>
      <c r="D67" s="49">
        <v>10</v>
      </c>
      <c r="E67" s="53">
        <v>40.529998779296875</v>
      </c>
      <c r="F67" s="53">
        <v>405.29998779296875</v>
      </c>
    </row>
    <row r="68" spans="1:6" x14ac:dyDescent="0.25">
      <c r="A68" s="52">
        <v>45878</v>
      </c>
      <c r="B68" s="51" t="s">
        <v>420</v>
      </c>
      <c r="C68" s="51">
        <v>10001</v>
      </c>
      <c r="D68" s="51">
        <v>4</v>
      </c>
      <c r="E68" s="54">
        <v>91.610000610351563</v>
      </c>
      <c r="F68" s="54">
        <v>366.44000244140625</v>
      </c>
    </row>
    <row r="69" spans="1:6" x14ac:dyDescent="0.25">
      <c r="A69" s="50">
        <v>45879</v>
      </c>
      <c r="B69" s="49" t="s">
        <v>420</v>
      </c>
      <c r="C69" s="49">
        <v>10001</v>
      </c>
      <c r="D69" s="49">
        <v>4</v>
      </c>
      <c r="E69" s="53">
        <v>22.600000381469727</v>
      </c>
      <c r="F69" s="53">
        <v>90.400001525878906</v>
      </c>
    </row>
    <row r="70" spans="1:6" x14ac:dyDescent="0.25">
      <c r="A70" s="52">
        <v>45880</v>
      </c>
      <c r="B70" s="51" t="s">
        <v>420</v>
      </c>
      <c r="C70" s="51">
        <v>10001</v>
      </c>
      <c r="D70" s="51">
        <v>4</v>
      </c>
      <c r="E70" s="54">
        <v>25.540000915527344</v>
      </c>
      <c r="F70" s="54">
        <v>102.16000366210938</v>
      </c>
    </row>
    <row r="71" spans="1:6" x14ac:dyDescent="0.25">
      <c r="A71" s="50">
        <v>45881</v>
      </c>
      <c r="B71" s="49" t="s">
        <v>420</v>
      </c>
      <c r="C71" s="49">
        <v>10001</v>
      </c>
      <c r="D71" s="49">
        <v>4</v>
      </c>
      <c r="E71" s="53">
        <v>22.229999542236328</v>
      </c>
      <c r="F71" s="53">
        <v>88.919998168945313</v>
      </c>
    </row>
    <row r="72" spans="1:6" x14ac:dyDescent="0.25">
      <c r="A72" s="52">
        <v>45882</v>
      </c>
      <c r="B72" s="51" t="s">
        <v>420</v>
      </c>
      <c r="C72" s="51">
        <v>10001</v>
      </c>
      <c r="D72" s="51">
        <v>7</v>
      </c>
      <c r="E72" s="54">
        <v>87.300003051757813</v>
      </c>
      <c r="F72" s="54">
        <v>611.10002136230469</v>
      </c>
    </row>
    <row r="73" spans="1:6" x14ac:dyDescent="0.25">
      <c r="A73" s="50">
        <v>45883</v>
      </c>
      <c r="B73" s="49" t="s">
        <v>420</v>
      </c>
      <c r="C73" s="49">
        <v>10001</v>
      </c>
      <c r="D73" s="49">
        <v>4</v>
      </c>
      <c r="E73" s="53">
        <v>81.050003051757813</v>
      </c>
      <c r="F73" s="53">
        <v>324.20001220703125</v>
      </c>
    </row>
    <row r="74" spans="1:6" x14ac:dyDescent="0.25">
      <c r="A74" s="52">
        <v>45884</v>
      </c>
      <c r="B74" s="51" t="s">
        <v>420</v>
      </c>
      <c r="C74" s="51">
        <v>10001</v>
      </c>
      <c r="D74" s="51">
        <v>8</v>
      </c>
      <c r="E74" s="54">
        <v>88.589996337890625</v>
      </c>
      <c r="F74" s="54">
        <v>708.719970703125</v>
      </c>
    </row>
    <row r="75" spans="1:6" x14ac:dyDescent="0.25">
      <c r="A75" s="50">
        <v>45885</v>
      </c>
      <c r="B75" s="49" t="s">
        <v>420</v>
      </c>
      <c r="C75" s="49">
        <v>10001</v>
      </c>
      <c r="D75" s="49">
        <v>5</v>
      </c>
      <c r="E75" s="53">
        <v>59.029998779296875</v>
      </c>
      <c r="F75" s="53">
        <v>295.14999389648438</v>
      </c>
    </row>
    <row r="76" spans="1:6" x14ac:dyDescent="0.25">
      <c r="A76" s="52">
        <v>45886</v>
      </c>
      <c r="B76" s="51" t="s">
        <v>420</v>
      </c>
      <c r="C76" s="51">
        <v>10001</v>
      </c>
      <c r="D76" s="51">
        <v>6</v>
      </c>
      <c r="E76" s="54">
        <v>85.199996948242188</v>
      </c>
      <c r="F76" s="54">
        <v>511.19998168945313</v>
      </c>
    </row>
    <row r="77" spans="1:6" x14ac:dyDescent="0.25">
      <c r="A77" s="50">
        <v>45887</v>
      </c>
      <c r="B77" s="49" t="s">
        <v>420</v>
      </c>
      <c r="C77" s="49">
        <v>10001</v>
      </c>
      <c r="D77" s="49">
        <v>4</v>
      </c>
      <c r="E77" s="53">
        <v>35.959999084472656</v>
      </c>
      <c r="F77" s="53">
        <v>143.83999633789063</v>
      </c>
    </row>
    <row r="78" spans="1:6" x14ac:dyDescent="0.25">
      <c r="A78" s="52">
        <v>45888</v>
      </c>
      <c r="B78" s="51" t="s">
        <v>420</v>
      </c>
      <c r="C78" s="51">
        <v>10001</v>
      </c>
      <c r="D78" s="51">
        <v>7</v>
      </c>
      <c r="E78" s="54">
        <v>34.639999389648438</v>
      </c>
      <c r="F78" s="54">
        <v>242.47999572753906</v>
      </c>
    </row>
    <row r="79" spans="1:6" x14ac:dyDescent="0.25">
      <c r="A79" s="50">
        <v>45859</v>
      </c>
      <c r="B79" s="49" t="s">
        <v>421</v>
      </c>
      <c r="C79" s="49">
        <v>10002</v>
      </c>
      <c r="D79" s="49">
        <v>8</v>
      </c>
      <c r="E79" s="53">
        <v>8.1800003051757813</v>
      </c>
      <c r="F79" s="53">
        <v>65.44000244140625</v>
      </c>
    </row>
    <row r="80" spans="1:6" x14ac:dyDescent="0.25">
      <c r="A80" s="52">
        <v>45860</v>
      </c>
      <c r="B80" s="51" t="s">
        <v>421</v>
      </c>
      <c r="C80" s="51">
        <v>10002</v>
      </c>
      <c r="D80" s="51">
        <v>7</v>
      </c>
      <c r="E80" s="54">
        <v>50.819999694824219</v>
      </c>
      <c r="F80" s="54">
        <v>355.73999786376953</v>
      </c>
    </row>
    <row r="81" spans="1:6" x14ac:dyDescent="0.25">
      <c r="A81" s="50">
        <v>45861</v>
      </c>
      <c r="B81" s="49" t="s">
        <v>421</v>
      </c>
      <c r="C81" s="49">
        <v>10002</v>
      </c>
      <c r="D81" s="49">
        <v>8</v>
      </c>
      <c r="E81" s="53">
        <v>88.980003356933594</v>
      </c>
      <c r="F81" s="53">
        <v>711.84002685546875</v>
      </c>
    </row>
    <row r="82" spans="1:6" x14ac:dyDescent="0.25">
      <c r="A82" s="52">
        <v>45862</v>
      </c>
      <c r="B82" s="51" t="s">
        <v>421</v>
      </c>
      <c r="C82" s="51">
        <v>10002</v>
      </c>
      <c r="D82" s="51">
        <v>3</v>
      </c>
      <c r="E82" s="54">
        <v>77.300003051757813</v>
      </c>
      <c r="F82" s="54">
        <v>231.90000915527344</v>
      </c>
    </row>
    <row r="83" spans="1:6" x14ac:dyDescent="0.25">
      <c r="A83" s="50">
        <v>45863</v>
      </c>
      <c r="B83" s="49" t="s">
        <v>421</v>
      </c>
      <c r="C83" s="49">
        <v>10002</v>
      </c>
      <c r="D83" s="49">
        <v>5</v>
      </c>
      <c r="E83" s="53">
        <v>69.510002136230469</v>
      </c>
      <c r="F83" s="53">
        <v>347.55001068115234</v>
      </c>
    </row>
    <row r="84" spans="1:6" x14ac:dyDescent="0.25">
      <c r="A84" s="52">
        <v>45864</v>
      </c>
      <c r="B84" s="51" t="s">
        <v>421</v>
      </c>
      <c r="C84" s="51">
        <v>10002</v>
      </c>
      <c r="D84" s="51">
        <v>8</v>
      </c>
      <c r="E84" s="54">
        <v>9.1000003814697266</v>
      </c>
      <c r="F84" s="54">
        <v>72.800003051757813</v>
      </c>
    </row>
    <row r="85" spans="1:6" x14ac:dyDescent="0.25">
      <c r="A85" s="50">
        <v>45865</v>
      </c>
      <c r="B85" s="49" t="s">
        <v>421</v>
      </c>
      <c r="C85" s="49">
        <v>10002</v>
      </c>
      <c r="D85" s="49">
        <v>7</v>
      </c>
      <c r="E85" s="53">
        <v>71.139999389648438</v>
      </c>
      <c r="F85" s="53">
        <v>497.97999572753906</v>
      </c>
    </row>
    <row r="86" spans="1:6" x14ac:dyDescent="0.25">
      <c r="A86" s="52">
        <v>45866</v>
      </c>
      <c r="B86" s="51" t="s">
        <v>421</v>
      </c>
      <c r="C86" s="51">
        <v>10002</v>
      </c>
      <c r="D86" s="51">
        <v>2</v>
      </c>
      <c r="E86" s="54">
        <v>82.169998168945313</v>
      </c>
      <c r="F86" s="54">
        <v>164.33999633789063</v>
      </c>
    </row>
    <row r="87" spans="1:6" x14ac:dyDescent="0.25">
      <c r="A87" s="50">
        <v>45867</v>
      </c>
      <c r="B87" s="49" t="s">
        <v>421</v>
      </c>
      <c r="C87" s="49">
        <v>10002</v>
      </c>
      <c r="D87" s="49">
        <v>8</v>
      </c>
      <c r="E87" s="53">
        <v>53.700000762939453</v>
      </c>
      <c r="F87" s="53">
        <v>429.60000610351563</v>
      </c>
    </row>
    <row r="88" spans="1:6" x14ac:dyDescent="0.25">
      <c r="A88" s="52">
        <v>45868</v>
      </c>
      <c r="B88" s="51" t="s">
        <v>421</v>
      </c>
      <c r="C88" s="51">
        <v>10002</v>
      </c>
      <c r="D88" s="51">
        <v>2</v>
      </c>
      <c r="E88" s="54">
        <v>42.970001220703125</v>
      </c>
      <c r="F88" s="54">
        <v>85.94000244140625</v>
      </c>
    </row>
    <row r="89" spans="1:6" x14ac:dyDescent="0.25">
      <c r="A89" s="50">
        <v>45869</v>
      </c>
      <c r="B89" s="49" t="s">
        <v>421</v>
      </c>
      <c r="C89" s="49">
        <v>10002</v>
      </c>
      <c r="D89" s="49">
        <v>7</v>
      </c>
      <c r="E89" s="53">
        <v>52.930000305175781</v>
      </c>
      <c r="F89" s="53">
        <v>370.51000213623047</v>
      </c>
    </row>
    <row r="90" spans="1:6" x14ac:dyDescent="0.25">
      <c r="A90" s="52">
        <v>45870</v>
      </c>
      <c r="B90" s="51" t="s">
        <v>421</v>
      </c>
      <c r="C90" s="51">
        <v>10002</v>
      </c>
      <c r="D90" s="51">
        <v>6</v>
      </c>
      <c r="E90" s="54">
        <v>99.760002136230469</v>
      </c>
      <c r="F90" s="54">
        <v>598.56001281738281</v>
      </c>
    </row>
    <row r="91" spans="1:6" x14ac:dyDescent="0.25">
      <c r="A91" s="50">
        <v>45871</v>
      </c>
      <c r="B91" s="49" t="s">
        <v>421</v>
      </c>
      <c r="C91" s="49">
        <v>10002</v>
      </c>
      <c r="D91" s="49">
        <v>2</v>
      </c>
      <c r="E91" s="53">
        <v>99.19000244140625</v>
      </c>
      <c r="F91" s="53">
        <v>198.3800048828125</v>
      </c>
    </row>
    <row r="92" spans="1:6" x14ac:dyDescent="0.25">
      <c r="A92" s="52">
        <v>45872</v>
      </c>
      <c r="B92" s="51" t="s">
        <v>421</v>
      </c>
      <c r="C92" s="51">
        <v>10002</v>
      </c>
      <c r="D92" s="51">
        <v>3</v>
      </c>
      <c r="E92" s="54">
        <v>30.620000839233398</v>
      </c>
      <c r="F92" s="54">
        <v>91.860002517700195</v>
      </c>
    </row>
    <row r="93" spans="1:6" x14ac:dyDescent="0.25">
      <c r="A93" s="50">
        <v>45873</v>
      </c>
      <c r="B93" s="49" t="s">
        <v>421</v>
      </c>
      <c r="C93" s="49">
        <v>10002</v>
      </c>
      <c r="D93" s="49">
        <v>4</v>
      </c>
      <c r="E93" s="53">
        <v>28.100000381469727</v>
      </c>
      <c r="F93" s="53">
        <v>112.40000152587891</v>
      </c>
    </row>
    <row r="94" spans="1:6" x14ac:dyDescent="0.25">
      <c r="A94" s="52">
        <v>45874</v>
      </c>
      <c r="B94" s="51" t="s">
        <v>421</v>
      </c>
      <c r="C94" s="51">
        <v>10002</v>
      </c>
      <c r="D94" s="51">
        <v>8</v>
      </c>
      <c r="E94" s="54">
        <v>67.129997253417969</v>
      </c>
      <c r="F94" s="54">
        <v>537.03997802734375</v>
      </c>
    </row>
    <row r="95" spans="1:6" x14ac:dyDescent="0.25">
      <c r="A95" s="50">
        <v>45875</v>
      </c>
      <c r="B95" s="49" t="s">
        <v>421</v>
      </c>
      <c r="C95" s="49">
        <v>10002</v>
      </c>
      <c r="D95" s="49">
        <v>6</v>
      </c>
      <c r="E95" s="53">
        <v>82.870002746582031</v>
      </c>
      <c r="F95" s="53">
        <v>497.22001647949219</v>
      </c>
    </row>
    <row r="96" spans="1:6" x14ac:dyDescent="0.25">
      <c r="A96" s="52">
        <v>45876</v>
      </c>
      <c r="B96" s="51" t="s">
        <v>421</v>
      </c>
      <c r="C96" s="51">
        <v>10002</v>
      </c>
      <c r="D96" s="51">
        <v>8</v>
      </c>
      <c r="E96" s="54">
        <v>71.489997863769531</v>
      </c>
      <c r="F96" s="54">
        <v>571.91998291015625</v>
      </c>
    </row>
    <row r="97" spans="1:6" x14ac:dyDescent="0.25">
      <c r="A97" s="50">
        <v>45877</v>
      </c>
      <c r="B97" s="49" t="s">
        <v>421</v>
      </c>
      <c r="C97" s="49">
        <v>10002</v>
      </c>
      <c r="D97" s="49">
        <v>5</v>
      </c>
      <c r="E97" s="53">
        <v>96.269996643066406</v>
      </c>
      <c r="F97" s="53">
        <v>481.34998321533203</v>
      </c>
    </row>
    <row r="98" spans="1:6" x14ac:dyDescent="0.25">
      <c r="A98" s="52">
        <v>45878</v>
      </c>
      <c r="B98" s="51" t="s">
        <v>421</v>
      </c>
      <c r="C98" s="51">
        <v>10002</v>
      </c>
      <c r="D98" s="51">
        <v>10</v>
      </c>
      <c r="E98" s="54">
        <v>8.25</v>
      </c>
      <c r="F98" s="54">
        <v>82.5</v>
      </c>
    </row>
    <row r="99" spans="1:6" x14ac:dyDescent="0.25">
      <c r="A99" s="50">
        <v>45879</v>
      </c>
      <c r="B99" s="49" t="s">
        <v>421</v>
      </c>
      <c r="C99" s="49">
        <v>10002</v>
      </c>
      <c r="D99" s="49">
        <v>4</v>
      </c>
      <c r="E99" s="53">
        <v>99.589996337890625</v>
      </c>
      <c r="F99" s="53">
        <v>398.3599853515625</v>
      </c>
    </row>
    <row r="100" spans="1:6" x14ac:dyDescent="0.25">
      <c r="A100" s="52">
        <v>45880</v>
      </c>
      <c r="B100" s="51" t="s">
        <v>421</v>
      </c>
      <c r="C100" s="51">
        <v>10002</v>
      </c>
      <c r="D100" s="51">
        <v>7</v>
      </c>
      <c r="E100" s="54">
        <v>81.05999755859375</v>
      </c>
      <c r="F100" s="54">
        <v>567.41998291015625</v>
      </c>
    </row>
    <row r="101" spans="1:6" x14ac:dyDescent="0.25">
      <c r="A101" s="50">
        <v>45881</v>
      </c>
      <c r="B101" s="49" t="s">
        <v>421</v>
      </c>
      <c r="C101" s="49">
        <v>10002</v>
      </c>
      <c r="D101" s="49">
        <v>3</v>
      </c>
      <c r="E101" s="53">
        <v>99.209999084472656</v>
      </c>
      <c r="F101" s="53">
        <v>297.62999725341797</v>
      </c>
    </row>
    <row r="102" spans="1:6" x14ac:dyDescent="0.25">
      <c r="A102" s="52">
        <v>45882</v>
      </c>
      <c r="B102" s="51" t="s">
        <v>421</v>
      </c>
      <c r="C102" s="51">
        <v>10002</v>
      </c>
      <c r="D102" s="51">
        <v>3</v>
      </c>
      <c r="E102" s="54">
        <v>68.160003662109375</v>
      </c>
      <c r="F102" s="54">
        <v>204.48001098632813</v>
      </c>
    </row>
    <row r="103" spans="1:6" x14ac:dyDescent="0.25">
      <c r="A103" s="50">
        <v>45883</v>
      </c>
      <c r="B103" s="49" t="s">
        <v>421</v>
      </c>
      <c r="C103" s="49">
        <v>10002</v>
      </c>
      <c r="D103" s="49">
        <v>5</v>
      </c>
      <c r="E103" s="53">
        <v>15.300000190734863</v>
      </c>
      <c r="F103" s="53">
        <v>76.500000953674316</v>
      </c>
    </row>
    <row r="104" spans="1:6" x14ac:dyDescent="0.25">
      <c r="A104" s="52">
        <v>45884</v>
      </c>
      <c r="B104" s="51" t="s">
        <v>421</v>
      </c>
      <c r="C104" s="51">
        <v>10002</v>
      </c>
      <c r="D104" s="51">
        <v>5</v>
      </c>
      <c r="E104" s="54">
        <v>74.349998474121094</v>
      </c>
      <c r="F104" s="54">
        <v>371.74999237060547</v>
      </c>
    </row>
    <row r="105" spans="1:6" x14ac:dyDescent="0.25">
      <c r="A105" s="50">
        <v>45885</v>
      </c>
      <c r="B105" s="49" t="s">
        <v>421</v>
      </c>
      <c r="C105" s="49">
        <v>10002</v>
      </c>
      <c r="D105" s="49">
        <v>2</v>
      </c>
      <c r="E105" s="53">
        <v>40.990001678466797</v>
      </c>
      <c r="F105" s="53">
        <v>81.980003356933594</v>
      </c>
    </row>
    <row r="106" spans="1:6" x14ac:dyDescent="0.25">
      <c r="A106" s="52">
        <v>45886</v>
      </c>
      <c r="B106" s="51" t="s">
        <v>421</v>
      </c>
      <c r="C106" s="51">
        <v>10002</v>
      </c>
      <c r="D106" s="51">
        <v>4</v>
      </c>
      <c r="E106" s="54">
        <v>95.870002746582031</v>
      </c>
      <c r="F106" s="54">
        <v>383.48001098632813</v>
      </c>
    </row>
    <row r="107" spans="1:6" x14ac:dyDescent="0.25">
      <c r="A107" s="50">
        <v>45887</v>
      </c>
      <c r="B107" s="49" t="s">
        <v>421</v>
      </c>
      <c r="C107" s="49">
        <v>10002</v>
      </c>
      <c r="D107" s="49">
        <v>4</v>
      </c>
      <c r="E107" s="53">
        <v>89.040000915527344</v>
      </c>
      <c r="F107" s="53">
        <v>356.16000366210938</v>
      </c>
    </row>
    <row r="108" spans="1:6" x14ac:dyDescent="0.25">
      <c r="A108" s="52">
        <v>45888</v>
      </c>
      <c r="B108" s="51" t="s">
        <v>421</v>
      </c>
      <c r="C108" s="51">
        <v>10002</v>
      </c>
      <c r="D108" s="51">
        <v>3</v>
      </c>
      <c r="E108" s="54">
        <v>93.209999084472656</v>
      </c>
      <c r="F108" s="54">
        <v>279.62999725341797</v>
      </c>
    </row>
    <row r="109" spans="1:6" x14ac:dyDescent="0.25">
      <c r="A109" s="50">
        <v>45859</v>
      </c>
      <c r="B109" s="49" t="s">
        <v>422</v>
      </c>
      <c r="C109" s="49">
        <v>10003</v>
      </c>
      <c r="D109" s="49">
        <v>10</v>
      </c>
      <c r="E109" s="53">
        <v>56.740001678466797</v>
      </c>
      <c r="F109" s="53">
        <v>567.40001678466797</v>
      </c>
    </row>
    <row r="110" spans="1:6" x14ac:dyDescent="0.25">
      <c r="A110" s="52">
        <v>45860</v>
      </c>
      <c r="B110" s="51" t="s">
        <v>422</v>
      </c>
      <c r="C110" s="51">
        <v>10003</v>
      </c>
      <c r="D110" s="51">
        <v>10</v>
      </c>
      <c r="E110" s="54">
        <v>10.979999542236328</v>
      </c>
      <c r="F110" s="54">
        <v>109.79999542236328</v>
      </c>
    </row>
    <row r="111" spans="1:6" x14ac:dyDescent="0.25">
      <c r="A111" s="50">
        <v>45861</v>
      </c>
      <c r="B111" s="49" t="s">
        <v>422</v>
      </c>
      <c r="C111" s="49">
        <v>10003</v>
      </c>
      <c r="D111" s="49">
        <v>5</v>
      </c>
      <c r="E111" s="53">
        <v>98.639999389648438</v>
      </c>
      <c r="F111" s="53">
        <v>493.19999694824219</v>
      </c>
    </row>
    <row r="112" spans="1:6" x14ac:dyDescent="0.25">
      <c r="A112" s="52">
        <v>45862</v>
      </c>
      <c r="B112" s="51" t="s">
        <v>422</v>
      </c>
      <c r="C112" s="51">
        <v>10003</v>
      </c>
      <c r="D112" s="51">
        <v>7</v>
      </c>
      <c r="E112" s="54">
        <v>62.290000915527344</v>
      </c>
      <c r="F112" s="54">
        <v>436.03000640869141</v>
      </c>
    </row>
    <row r="113" spans="1:6" x14ac:dyDescent="0.25">
      <c r="A113" s="50">
        <v>45863</v>
      </c>
      <c r="B113" s="49" t="s">
        <v>422</v>
      </c>
      <c r="C113" s="49">
        <v>10003</v>
      </c>
      <c r="D113" s="49">
        <v>7</v>
      </c>
      <c r="E113" s="53">
        <v>25.280000686645508</v>
      </c>
      <c r="F113" s="53">
        <v>176.96000480651855</v>
      </c>
    </row>
    <row r="114" spans="1:6" x14ac:dyDescent="0.25">
      <c r="A114" s="52">
        <v>45864</v>
      </c>
      <c r="B114" s="51" t="s">
        <v>422</v>
      </c>
      <c r="C114" s="51">
        <v>10003</v>
      </c>
      <c r="D114" s="51">
        <v>6</v>
      </c>
      <c r="E114" s="54">
        <v>99.099998474121094</v>
      </c>
      <c r="F114" s="54">
        <v>594.59999084472656</v>
      </c>
    </row>
    <row r="115" spans="1:6" x14ac:dyDescent="0.25">
      <c r="A115" s="50">
        <v>45865</v>
      </c>
      <c r="B115" s="49" t="s">
        <v>422</v>
      </c>
      <c r="C115" s="49">
        <v>10003</v>
      </c>
      <c r="D115" s="49">
        <v>5</v>
      </c>
      <c r="E115" s="53">
        <v>10.149999618530273</v>
      </c>
      <c r="F115" s="53">
        <v>50.749998092651367</v>
      </c>
    </row>
    <row r="116" spans="1:6" x14ac:dyDescent="0.25">
      <c r="A116" s="52">
        <v>45866</v>
      </c>
      <c r="B116" s="51" t="s">
        <v>422</v>
      </c>
      <c r="C116" s="51">
        <v>10003</v>
      </c>
      <c r="D116" s="51">
        <v>7</v>
      </c>
      <c r="E116" s="54">
        <v>48.840000152587891</v>
      </c>
      <c r="F116" s="54">
        <v>341.88000106811523</v>
      </c>
    </row>
    <row r="117" spans="1:6" x14ac:dyDescent="0.25">
      <c r="A117" s="50">
        <v>45867</v>
      </c>
      <c r="B117" s="49" t="s">
        <v>422</v>
      </c>
      <c r="C117" s="49">
        <v>10003</v>
      </c>
      <c r="D117" s="49">
        <v>8</v>
      </c>
      <c r="E117" s="53">
        <v>60.409999847412109</v>
      </c>
      <c r="F117" s="53">
        <v>483.27999877929688</v>
      </c>
    </row>
    <row r="118" spans="1:6" x14ac:dyDescent="0.25">
      <c r="A118" s="52">
        <v>45868</v>
      </c>
      <c r="B118" s="51" t="s">
        <v>422</v>
      </c>
      <c r="C118" s="51">
        <v>10003</v>
      </c>
      <c r="D118" s="51">
        <v>3</v>
      </c>
      <c r="E118" s="54">
        <v>95.949996948242188</v>
      </c>
      <c r="F118" s="54">
        <v>287.84999084472656</v>
      </c>
    </row>
    <row r="119" spans="1:6" x14ac:dyDescent="0.25">
      <c r="A119" s="50">
        <v>45869</v>
      </c>
      <c r="B119" s="49" t="s">
        <v>422</v>
      </c>
      <c r="C119" s="49">
        <v>10003</v>
      </c>
      <c r="D119" s="49">
        <v>6</v>
      </c>
      <c r="E119" s="53">
        <v>6.0999999046325684</v>
      </c>
      <c r="F119" s="53">
        <v>36.59999942779541</v>
      </c>
    </row>
    <row r="120" spans="1:6" x14ac:dyDescent="0.25">
      <c r="A120" s="52">
        <v>45870</v>
      </c>
      <c r="B120" s="51" t="s">
        <v>422</v>
      </c>
      <c r="C120" s="51">
        <v>10003</v>
      </c>
      <c r="D120" s="51">
        <v>3</v>
      </c>
      <c r="E120" s="54">
        <v>71.230003356933594</v>
      </c>
      <c r="F120" s="54">
        <v>213.69001007080078</v>
      </c>
    </row>
    <row r="121" spans="1:6" x14ac:dyDescent="0.25">
      <c r="A121" s="50">
        <v>45871</v>
      </c>
      <c r="B121" s="49" t="s">
        <v>422</v>
      </c>
      <c r="C121" s="49">
        <v>10003</v>
      </c>
      <c r="D121" s="49">
        <v>4</v>
      </c>
      <c r="E121" s="53">
        <v>76.010002136230469</v>
      </c>
      <c r="F121" s="53">
        <v>304.04000854492188</v>
      </c>
    </row>
    <row r="122" spans="1:6" x14ac:dyDescent="0.25">
      <c r="A122" s="52">
        <v>45872</v>
      </c>
      <c r="B122" s="51" t="s">
        <v>422</v>
      </c>
      <c r="C122" s="51">
        <v>10003</v>
      </c>
      <c r="D122" s="51">
        <v>6</v>
      </c>
      <c r="E122" s="54">
        <v>5.2800002098083496</v>
      </c>
      <c r="F122" s="54">
        <v>31.680001258850098</v>
      </c>
    </row>
    <row r="123" spans="1:6" x14ac:dyDescent="0.25">
      <c r="A123" s="50">
        <v>45873</v>
      </c>
      <c r="B123" s="49" t="s">
        <v>422</v>
      </c>
      <c r="C123" s="49">
        <v>10003</v>
      </c>
      <c r="D123" s="49">
        <v>7</v>
      </c>
      <c r="E123" s="53">
        <v>62.360000610351563</v>
      </c>
      <c r="F123" s="53">
        <v>436.52000427246094</v>
      </c>
    </row>
    <row r="124" spans="1:6" x14ac:dyDescent="0.25">
      <c r="A124" s="52">
        <v>45874</v>
      </c>
      <c r="B124" s="51" t="s">
        <v>422</v>
      </c>
      <c r="C124" s="51">
        <v>10003</v>
      </c>
      <c r="D124" s="51">
        <v>2</v>
      </c>
      <c r="E124" s="54">
        <v>26.200000762939453</v>
      </c>
      <c r="F124" s="54">
        <v>52.400001525878906</v>
      </c>
    </row>
    <row r="125" spans="1:6" x14ac:dyDescent="0.25">
      <c r="A125" s="50">
        <v>45875</v>
      </c>
      <c r="B125" s="49" t="s">
        <v>422</v>
      </c>
      <c r="C125" s="49">
        <v>10003</v>
      </c>
      <c r="D125" s="49">
        <v>7</v>
      </c>
      <c r="E125" s="53">
        <v>39.860000610351563</v>
      </c>
      <c r="F125" s="53">
        <v>279.02000427246094</v>
      </c>
    </row>
    <row r="126" spans="1:6" x14ac:dyDescent="0.25">
      <c r="A126" s="52">
        <v>45876</v>
      </c>
      <c r="B126" s="51" t="s">
        <v>422</v>
      </c>
      <c r="C126" s="51">
        <v>10003</v>
      </c>
      <c r="D126" s="51">
        <v>6</v>
      </c>
      <c r="E126" s="54">
        <v>85.510002136230469</v>
      </c>
      <c r="F126" s="54">
        <v>513.06001281738281</v>
      </c>
    </row>
    <row r="127" spans="1:6" x14ac:dyDescent="0.25">
      <c r="A127" s="50">
        <v>45877</v>
      </c>
      <c r="B127" s="49" t="s">
        <v>422</v>
      </c>
      <c r="C127" s="49">
        <v>10003</v>
      </c>
      <c r="D127" s="49">
        <v>4</v>
      </c>
      <c r="E127" s="53">
        <v>23.930000305175781</v>
      </c>
      <c r="F127" s="53">
        <v>95.720001220703125</v>
      </c>
    </row>
    <row r="128" spans="1:6" x14ac:dyDescent="0.25">
      <c r="A128" s="52">
        <v>45878</v>
      </c>
      <c r="B128" s="51" t="s">
        <v>422</v>
      </c>
      <c r="C128" s="51">
        <v>10003</v>
      </c>
      <c r="D128" s="51">
        <v>6</v>
      </c>
      <c r="E128" s="54">
        <v>19.879999160766602</v>
      </c>
      <c r="F128" s="54">
        <v>119.27999496459961</v>
      </c>
    </row>
    <row r="129" spans="1:6" x14ac:dyDescent="0.25">
      <c r="A129" s="50">
        <v>45879</v>
      </c>
      <c r="B129" s="49" t="s">
        <v>422</v>
      </c>
      <c r="C129" s="49">
        <v>10003</v>
      </c>
      <c r="D129" s="49">
        <v>9</v>
      </c>
      <c r="E129" s="53">
        <v>61.200000762939453</v>
      </c>
      <c r="F129" s="53">
        <v>550.80000686645508</v>
      </c>
    </row>
    <row r="130" spans="1:6" x14ac:dyDescent="0.25">
      <c r="A130" s="52">
        <v>45880</v>
      </c>
      <c r="B130" s="51" t="s">
        <v>422</v>
      </c>
      <c r="C130" s="51">
        <v>10003</v>
      </c>
      <c r="D130" s="51">
        <v>1</v>
      </c>
      <c r="E130" s="54">
        <v>5.1100001335144043</v>
      </c>
      <c r="F130" s="54">
        <v>5.1100001335144043</v>
      </c>
    </row>
    <row r="131" spans="1:6" x14ac:dyDescent="0.25">
      <c r="A131" s="50">
        <v>45881</v>
      </c>
      <c r="B131" s="49" t="s">
        <v>422</v>
      </c>
      <c r="C131" s="49">
        <v>10003</v>
      </c>
      <c r="D131" s="49">
        <v>5</v>
      </c>
      <c r="E131" s="53">
        <v>84.360000610351563</v>
      </c>
      <c r="F131" s="53">
        <v>421.80000305175781</v>
      </c>
    </row>
    <row r="132" spans="1:6" x14ac:dyDescent="0.25">
      <c r="A132" s="52">
        <v>45882</v>
      </c>
      <c r="B132" s="51" t="s">
        <v>422</v>
      </c>
      <c r="C132" s="51">
        <v>10003</v>
      </c>
      <c r="D132" s="51">
        <v>3</v>
      </c>
      <c r="E132" s="54">
        <v>57.540000915527344</v>
      </c>
      <c r="F132" s="54">
        <v>172.62000274658203</v>
      </c>
    </row>
    <row r="133" spans="1:6" x14ac:dyDescent="0.25">
      <c r="A133" s="50">
        <v>45883</v>
      </c>
      <c r="B133" s="49" t="s">
        <v>422</v>
      </c>
      <c r="C133" s="49">
        <v>10003</v>
      </c>
      <c r="D133" s="49">
        <v>5</v>
      </c>
      <c r="E133" s="53">
        <v>27.120000839233398</v>
      </c>
      <c r="F133" s="53">
        <v>135.60000419616699</v>
      </c>
    </row>
    <row r="134" spans="1:6" x14ac:dyDescent="0.25">
      <c r="A134" s="52">
        <v>45884</v>
      </c>
      <c r="B134" s="51" t="s">
        <v>422</v>
      </c>
      <c r="C134" s="51">
        <v>10003</v>
      </c>
      <c r="D134" s="51">
        <v>7</v>
      </c>
      <c r="E134" s="54">
        <v>16.729999542236328</v>
      </c>
      <c r="F134" s="54">
        <v>117.1099967956543</v>
      </c>
    </row>
    <row r="135" spans="1:6" x14ac:dyDescent="0.25">
      <c r="A135" s="50">
        <v>45885</v>
      </c>
      <c r="B135" s="49" t="s">
        <v>422</v>
      </c>
      <c r="C135" s="49">
        <v>10003</v>
      </c>
      <c r="D135" s="49">
        <v>4</v>
      </c>
      <c r="E135" s="53">
        <v>53.930000305175781</v>
      </c>
      <c r="F135" s="53">
        <v>215.72000122070313</v>
      </c>
    </row>
    <row r="136" spans="1:6" x14ac:dyDescent="0.25">
      <c r="A136" s="52">
        <v>45886</v>
      </c>
      <c r="B136" s="51" t="s">
        <v>422</v>
      </c>
      <c r="C136" s="51">
        <v>10003</v>
      </c>
      <c r="D136" s="51">
        <v>6</v>
      </c>
      <c r="E136" s="54">
        <v>42.139999389648438</v>
      </c>
      <c r="F136" s="54">
        <v>252.83999633789063</v>
      </c>
    </row>
    <row r="137" spans="1:6" x14ac:dyDescent="0.25">
      <c r="A137" s="50">
        <v>45887</v>
      </c>
      <c r="B137" s="49" t="s">
        <v>422</v>
      </c>
      <c r="C137" s="49">
        <v>10003</v>
      </c>
      <c r="D137" s="49">
        <v>5</v>
      </c>
      <c r="E137" s="53">
        <v>22.559999465942383</v>
      </c>
      <c r="F137" s="53">
        <v>112.79999732971191</v>
      </c>
    </row>
    <row r="138" spans="1:6" x14ac:dyDescent="0.25">
      <c r="A138" s="52">
        <v>45888</v>
      </c>
      <c r="B138" s="51" t="s">
        <v>422</v>
      </c>
      <c r="C138" s="51">
        <v>10003</v>
      </c>
      <c r="D138" s="51">
        <v>7</v>
      </c>
      <c r="E138" s="54">
        <v>65.129997253417969</v>
      </c>
      <c r="F138" s="54">
        <v>455.90998077392578</v>
      </c>
    </row>
    <row r="139" spans="1:6" x14ac:dyDescent="0.25">
      <c r="A139" s="50">
        <v>45859</v>
      </c>
      <c r="B139" s="49" t="s">
        <v>423</v>
      </c>
      <c r="C139" s="49">
        <v>10004</v>
      </c>
      <c r="D139" s="49">
        <v>5</v>
      </c>
      <c r="E139" s="53">
        <v>76.669998168945313</v>
      </c>
      <c r="F139" s="53">
        <v>383.34999084472656</v>
      </c>
    </row>
    <row r="140" spans="1:6" x14ac:dyDescent="0.25">
      <c r="A140" s="52">
        <v>45860</v>
      </c>
      <c r="B140" s="51" t="s">
        <v>423</v>
      </c>
      <c r="C140" s="51">
        <v>10004</v>
      </c>
      <c r="D140" s="51">
        <v>8</v>
      </c>
      <c r="E140" s="54">
        <v>81.569999694824219</v>
      </c>
      <c r="F140" s="54">
        <v>652.55999755859375</v>
      </c>
    </row>
    <row r="141" spans="1:6" x14ac:dyDescent="0.25">
      <c r="A141" s="50">
        <v>45861</v>
      </c>
      <c r="B141" s="49" t="s">
        <v>423</v>
      </c>
      <c r="C141" s="49">
        <v>10004</v>
      </c>
      <c r="D141" s="49">
        <v>10</v>
      </c>
      <c r="E141" s="53">
        <v>14.180000305175781</v>
      </c>
      <c r="F141" s="53">
        <v>141.80000305175781</v>
      </c>
    </row>
    <row r="142" spans="1:6" x14ac:dyDescent="0.25">
      <c r="A142" s="52">
        <v>45862</v>
      </c>
      <c r="B142" s="51" t="s">
        <v>423</v>
      </c>
      <c r="C142" s="51">
        <v>10004</v>
      </c>
      <c r="D142" s="51">
        <v>1</v>
      </c>
      <c r="E142" s="54">
        <v>58.790000915527344</v>
      </c>
      <c r="F142" s="54">
        <v>58.790000915527344</v>
      </c>
    </row>
    <row r="143" spans="1:6" x14ac:dyDescent="0.25">
      <c r="A143" s="50">
        <v>45863</v>
      </c>
      <c r="B143" s="49" t="s">
        <v>423</v>
      </c>
      <c r="C143" s="49">
        <v>10004</v>
      </c>
      <c r="D143" s="49">
        <v>5</v>
      </c>
      <c r="E143" s="53">
        <v>40.959999084472656</v>
      </c>
      <c r="F143" s="53">
        <v>204.79999542236328</v>
      </c>
    </row>
    <row r="144" spans="1:6" x14ac:dyDescent="0.25">
      <c r="A144" s="52">
        <v>45864</v>
      </c>
      <c r="B144" s="51" t="s">
        <v>423</v>
      </c>
      <c r="C144" s="51">
        <v>10004</v>
      </c>
      <c r="D144" s="51">
        <v>4</v>
      </c>
      <c r="E144" s="54">
        <v>59.669998168945313</v>
      </c>
      <c r="F144" s="54">
        <v>238.67999267578125</v>
      </c>
    </row>
    <row r="145" spans="1:6" x14ac:dyDescent="0.25">
      <c r="A145" s="50">
        <v>45865</v>
      </c>
      <c r="B145" s="49" t="s">
        <v>423</v>
      </c>
      <c r="C145" s="49">
        <v>10004</v>
      </c>
      <c r="D145" s="49">
        <v>3</v>
      </c>
      <c r="E145" s="53">
        <v>32.950000762939453</v>
      </c>
      <c r="F145" s="53">
        <v>98.850002288818359</v>
      </c>
    </row>
    <row r="146" spans="1:6" x14ac:dyDescent="0.25">
      <c r="A146" s="52">
        <v>45866</v>
      </c>
      <c r="B146" s="51" t="s">
        <v>423</v>
      </c>
      <c r="C146" s="51">
        <v>10004</v>
      </c>
      <c r="D146" s="51">
        <v>9</v>
      </c>
      <c r="E146" s="54">
        <v>70.269996643066406</v>
      </c>
      <c r="F146" s="54">
        <v>632.42996978759766</v>
      </c>
    </row>
    <row r="147" spans="1:6" x14ac:dyDescent="0.25">
      <c r="A147" s="50">
        <v>45867</v>
      </c>
      <c r="B147" s="49" t="s">
        <v>423</v>
      </c>
      <c r="C147" s="49">
        <v>10004</v>
      </c>
      <c r="D147" s="49">
        <v>4</v>
      </c>
      <c r="E147" s="53">
        <v>59.090000152587891</v>
      </c>
      <c r="F147" s="53">
        <v>236.36000061035156</v>
      </c>
    </row>
    <row r="148" spans="1:6" x14ac:dyDescent="0.25">
      <c r="A148" s="52">
        <v>45868</v>
      </c>
      <c r="B148" s="51" t="s">
        <v>423</v>
      </c>
      <c r="C148" s="51">
        <v>10004</v>
      </c>
      <c r="D148" s="51">
        <v>3</v>
      </c>
      <c r="E148" s="54">
        <v>86.010002136230469</v>
      </c>
      <c r="F148" s="54">
        <v>258.03000640869141</v>
      </c>
    </row>
    <row r="149" spans="1:6" x14ac:dyDescent="0.25">
      <c r="A149" s="50">
        <v>45869</v>
      </c>
      <c r="B149" s="49" t="s">
        <v>423</v>
      </c>
      <c r="C149" s="49">
        <v>10004</v>
      </c>
      <c r="D149" s="49">
        <v>5</v>
      </c>
      <c r="E149" s="53">
        <v>95.44000244140625</v>
      </c>
      <c r="F149" s="53">
        <v>477.20001220703125</v>
      </c>
    </row>
    <row r="150" spans="1:6" x14ac:dyDescent="0.25">
      <c r="A150" s="52">
        <v>45870</v>
      </c>
      <c r="B150" s="51" t="s">
        <v>423</v>
      </c>
      <c r="C150" s="51">
        <v>10004</v>
      </c>
      <c r="D150" s="51">
        <v>3</v>
      </c>
      <c r="E150" s="54">
        <v>85.449996948242188</v>
      </c>
      <c r="F150" s="54">
        <v>256.34999084472656</v>
      </c>
    </row>
    <row r="151" spans="1:6" x14ac:dyDescent="0.25">
      <c r="A151" s="50">
        <v>45871</v>
      </c>
      <c r="B151" s="49" t="s">
        <v>423</v>
      </c>
      <c r="C151" s="49">
        <v>10004</v>
      </c>
      <c r="D151" s="49">
        <v>8</v>
      </c>
      <c r="E151" s="53">
        <v>20.389999389648438</v>
      </c>
      <c r="F151" s="53">
        <v>163.1199951171875</v>
      </c>
    </row>
    <row r="152" spans="1:6" x14ac:dyDescent="0.25">
      <c r="A152" s="52">
        <v>45872</v>
      </c>
      <c r="B152" s="51" t="s">
        <v>423</v>
      </c>
      <c r="C152" s="51">
        <v>10004</v>
      </c>
      <c r="D152" s="51">
        <v>7</v>
      </c>
      <c r="E152" s="54">
        <v>19.360000610351563</v>
      </c>
      <c r="F152" s="54">
        <v>135.52000427246094</v>
      </c>
    </row>
    <row r="153" spans="1:6" x14ac:dyDescent="0.25">
      <c r="A153" s="50">
        <v>45873</v>
      </c>
      <c r="B153" s="49" t="s">
        <v>423</v>
      </c>
      <c r="C153" s="49">
        <v>10004</v>
      </c>
      <c r="D153" s="49">
        <v>1</v>
      </c>
      <c r="E153" s="53">
        <v>53.930000305175781</v>
      </c>
      <c r="F153" s="53">
        <v>53.930000305175781</v>
      </c>
    </row>
    <row r="154" spans="1:6" x14ac:dyDescent="0.25">
      <c r="A154" s="52">
        <v>45874</v>
      </c>
      <c r="B154" s="51" t="s">
        <v>423</v>
      </c>
      <c r="C154" s="51">
        <v>10004</v>
      </c>
      <c r="D154" s="51">
        <v>7</v>
      </c>
      <c r="E154" s="54">
        <v>61.299999237060547</v>
      </c>
      <c r="F154" s="54">
        <v>429.09999465942383</v>
      </c>
    </row>
    <row r="155" spans="1:6" x14ac:dyDescent="0.25">
      <c r="A155" s="50">
        <v>45875</v>
      </c>
      <c r="B155" s="49" t="s">
        <v>423</v>
      </c>
      <c r="C155" s="49">
        <v>10004</v>
      </c>
      <c r="D155" s="49">
        <v>6</v>
      </c>
      <c r="E155" s="53">
        <v>23.229999542236328</v>
      </c>
      <c r="F155" s="53">
        <v>139.37999725341797</v>
      </c>
    </row>
    <row r="156" spans="1:6" x14ac:dyDescent="0.25">
      <c r="A156" s="52">
        <v>45876</v>
      </c>
      <c r="B156" s="51" t="s">
        <v>423</v>
      </c>
      <c r="C156" s="51">
        <v>10004</v>
      </c>
      <c r="D156" s="51">
        <v>7</v>
      </c>
      <c r="E156" s="54">
        <v>60.040000915527344</v>
      </c>
      <c r="F156" s="54">
        <v>420.28000640869141</v>
      </c>
    </row>
    <row r="157" spans="1:6" x14ac:dyDescent="0.25">
      <c r="A157" s="50">
        <v>45877</v>
      </c>
      <c r="B157" s="49" t="s">
        <v>423</v>
      </c>
      <c r="C157" s="49">
        <v>10004</v>
      </c>
      <c r="D157" s="49">
        <v>1</v>
      </c>
      <c r="E157" s="53">
        <v>40.220001220703125</v>
      </c>
      <c r="F157" s="53">
        <v>40.220001220703125</v>
      </c>
    </row>
    <row r="158" spans="1:6" x14ac:dyDescent="0.25">
      <c r="A158" s="52">
        <v>45878</v>
      </c>
      <c r="B158" s="51" t="s">
        <v>423</v>
      </c>
      <c r="C158" s="51">
        <v>10004</v>
      </c>
      <c r="D158" s="51">
        <v>8</v>
      </c>
      <c r="E158" s="54">
        <v>7.619999885559082</v>
      </c>
      <c r="F158" s="54">
        <v>60.959999084472656</v>
      </c>
    </row>
    <row r="159" spans="1:6" x14ac:dyDescent="0.25">
      <c r="A159" s="50">
        <v>45879</v>
      </c>
      <c r="B159" s="49" t="s">
        <v>423</v>
      </c>
      <c r="C159" s="49">
        <v>10004</v>
      </c>
      <c r="D159" s="49">
        <v>8</v>
      </c>
      <c r="E159" s="53">
        <v>70.680000305175781</v>
      </c>
      <c r="F159" s="53">
        <v>565.44000244140625</v>
      </c>
    </row>
    <row r="160" spans="1:6" x14ac:dyDescent="0.25">
      <c r="A160" s="52">
        <v>45880</v>
      </c>
      <c r="B160" s="51" t="s">
        <v>423</v>
      </c>
      <c r="C160" s="51">
        <v>10004</v>
      </c>
      <c r="D160" s="51">
        <v>5</v>
      </c>
      <c r="E160" s="54">
        <v>35.830001831054688</v>
      </c>
      <c r="F160" s="54">
        <v>179.15000915527344</v>
      </c>
    </row>
    <row r="161" spans="1:6" x14ac:dyDescent="0.25">
      <c r="A161" s="50">
        <v>45881</v>
      </c>
      <c r="B161" s="49" t="s">
        <v>423</v>
      </c>
      <c r="C161" s="49">
        <v>10004</v>
      </c>
      <c r="D161" s="49">
        <v>3</v>
      </c>
      <c r="E161" s="53">
        <v>78.209999084472656</v>
      </c>
      <c r="F161" s="53">
        <v>234.62999725341797</v>
      </c>
    </row>
    <row r="162" spans="1:6" x14ac:dyDescent="0.25">
      <c r="A162" s="52">
        <v>45882</v>
      </c>
      <c r="B162" s="51" t="s">
        <v>423</v>
      </c>
      <c r="C162" s="51">
        <v>10004</v>
      </c>
      <c r="D162" s="51">
        <v>4</v>
      </c>
      <c r="E162" s="54">
        <v>92.349998474121094</v>
      </c>
      <c r="F162" s="54">
        <v>369.39999389648438</v>
      </c>
    </row>
    <row r="163" spans="1:6" x14ac:dyDescent="0.25">
      <c r="A163" s="50">
        <v>45883</v>
      </c>
      <c r="B163" s="49" t="s">
        <v>423</v>
      </c>
      <c r="C163" s="49">
        <v>10004</v>
      </c>
      <c r="D163" s="49">
        <v>8</v>
      </c>
      <c r="E163" s="53">
        <v>74.989997863769531</v>
      </c>
      <c r="F163" s="53">
        <v>599.91998291015625</v>
      </c>
    </row>
    <row r="164" spans="1:6" x14ac:dyDescent="0.25">
      <c r="A164" s="52">
        <v>45884</v>
      </c>
      <c r="B164" s="51" t="s">
        <v>423</v>
      </c>
      <c r="C164" s="51">
        <v>10004</v>
      </c>
      <c r="D164" s="51">
        <v>4</v>
      </c>
      <c r="E164" s="54">
        <v>41.840000152587891</v>
      </c>
      <c r="F164" s="54">
        <v>167.36000061035156</v>
      </c>
    </row>
    <row r="165" spans="1:6" x14ac:dyDescent="0.25">
      <c r="A165" s="50">
        <v>45885</v>
      </c>
      <c r="B165" s="49" t="s">
        <v>423</v>
      </c>
      <c r="C165" s="49">
        <v>10004</v>
      </c>
      <c r="D165" s="49">
        <v>3</v>
      </c>
      <c r="E165" s="53">
        <v>5.25</v>
      </c>
      <c r="F165" s="53">
        <v>15.75</v>
      </c>
    </row>
    <row r="166" spans="1:6" x14ac:dyDescent="0.25">
      <c r="A166" s="52">
        <v>45886</v>
      </c>
      <c r="B166" s="51" t="s">
        <v>423</v>
      </c>
      <c r="C166" s="51">
        <v>10004</v>
      </c>
      <c r="D166" s="51">
        <v>6</v>
      </c>
      <c r="E166" s="54">
        <v>10.789999961853027</v>
      </c>
      <c r="F166" s="54">
        <v>64.739999771118164</v>
      </c>
    </row>
    <row r="167" spans="1:6" x14ac:dyDescent="0.25">
      <c r="A167" s="50">
        <v>45887</v>
      </c>
      <c r="B167" s="49" t="s">
        <v>423</v>
      </c>
      <c r="C167" s="49">
        <v>10004</v>
      </c>
      <c r="D167" s="49">
        <v>1</v>
      </c>
      <c r="E167" s="53">
        <v>75.80999755859375</v>
      </c>
      <c r="F167" s="53">
        <v>75.80999755859375</v>
      </c>
    </row>
    <row r="168" spans="1:6" x14ac:dyDescent="0.25">
      <c r="A168" s="52">
        <v>45888</v>
      </c>
      <c r="B168" s="51" t="s">
        <v>423</v>
      </c>
      <c r="C168" s="51">
        <v>10004</v>
      </c>
      <c r="D168" s="51">
        <v>2</v>
      </c>
      <c r="E168" s="54">
        <v>58.930000305175781</v>
      </c>
      <c r="F168" s="54">
        <v>117.86000061035156</v>
      </c>
    </row>
    <row r="169" spans="1:6" x14ac:dyDescent="0.25">
      <c r="A169" s="50">
        <v>45859</v>
      </c>
      <c r="B169" s="49" t="s">
        <v>424</v>
      </c>
      <c r="C169" s="49">
        <v>10005</v>
      </c>
      <c r="D169" s="49">
        <v>5</v>
      </c>
      <c r="E169" s="53">
        <v>82.180000305175781</v>
      </c>
      <c r="F169" s="53">
        <v>410.90000152587891</v>
      </c>
    </row>
    <row r="170" spans="1:6" x14ac:dyDescent="0.25">
      <c r="A170" s="52">
        <v>45860</v>
      </c>
      <c r="B170" s="51" t="s">
        <v>424</v>
      </c>
      <c r="C170" s="51">
        <v>10005</v>
      </c>
      <c r="D170" s="51">
        <v>8</v>
      </c>
      <c r="E170" s="54">
        <v>88.419998168945313</v>
      </c>
      <c r="F170" s="54">
        <v>707.3599853515625</v>
      </c>
    </row>
    <row r="171" spans="1:6" x14ac:dyDescent="0.25">
      <c r="A171" s="50">
        <v>45861</v>
      </c>
      <c r="B171" s="49" t="s">
        <v>424</v>
      </c>
      <c r="C171" s="49">
        <v>10005</v>
      </c>
      <c r="D171" s="49">
        <v>3</v>
      </c>
      <c r="E171" s="53">
        <v>7.0799999237060547</v>
      </c>
      <c r="F171" s="53">
        <v>21.239999771118164</v>
      </c>
    </row>
    <row r="172" spans="1:6" x14ac:dyDescent="0.25">
      <c r="A172" s="52">
        <v>45862</v>
      </c>
      <c r="B172" s="51" t="s">
        <v>424</v>
      </c>
      <c r="C172" s="51">
        <v>10005</v>
      </c>
      <c r="D172" s="51">
        <v>5</v>
      </c>
      <c r="E172" s="54">
        <v>71.069999694824219</v>
      </c>
      <c r="F172" s="54">
        <v>355.34999847412109</v>
      </c>
    </row>
    <row r="173" spans="1:6" x14ac:dyDescent="0.25">
      <c r="A173" s="50">
        <v>45863</v>
      </c>
      <c r="B173" s="49" t="s">
        <v>424</v>
      </c>
      <c r="C173" s="49">
        <v>10005</v>
      </c>
      <c r="D173" s="49">
        <v>3</v>
      </c>
      <c r="E173" s="53">
        <v>12.189999580383301</v>
      </c>
      <c r="F173" s="53">
        <v>36.569998741149902</v>
      </c>
    </row>
    <row r="174" spans="1:6" x14ac:dyDescent="0.25">
      <c r="A174" s="52">
        <v>45864</v>
      </c>
      <c r="B174" s="51" t="s">
        <v>424</v>
      </c>
      <c r="C174" s="51">
        <v>10005</v>
      </c>
      <c r="D174" s="51">
        <v>4</v>
      </c>
      <c r="E174" s="54">
        <v>32.580001831054688</v>
      </c>
      <c r="F174" s="54">
        <v>130.32000732421875</v>
      </c>
    </row>
    <row r="175" spans="1:6" x14ac:dyDescent="0.25">
      <c r="A175" s="50">
        <v>45865</v>
      </c>
      <c r="B175" s="49" t="s">
        <v>424</v>
      </c>
      <c r="C175" s="49">
        <v>10005</v>
      </c>
      <c r="D175" s="49">
        <v>6</v>
      </c>
      <c r="E175" s="53">
        <v>57.799999237060547</v>
      </c>
      <c r="F175" s="53">
        <v>346.79999542236328</v>
      </c>
    </row>
    <row r="176" spans="1:6" x14ac:dyDescent="0.25">
      <c r="A176" s="52">
        <v>45866</v>
      </c>
      <c r="B176" s="51" t="s">
        <v>424</v>
      </c>
      <c r="C176" s="51">
        <v>10005</v>
      </c>
      <c r="D176" s="51">
        <v>5</v>
      </c>
      <c r="E176" s="54">
        <v>16.260000228881836</v>
      </c>
      <c r="F176" s="54">
        <v>81.30000114440918</v>
      </c>
    </row>
    <row r="177" spans="1:6" x14ac:dyDescent="0.25">
      <c r="A177" s="50">
        <v>45867</v>
      </c>
      <c r="B177" s="49" t="s">
        <v>424</v>
      </c>
      <c r="C177" s="49">
        <v>10005</v>
      </c>
      <c r="D177" s="49">
        <v>5</v>
      </c>
      <c r="E177" s="53">
        <v>73.400001525878906</v>
      </c>
      <c r="F177" s="53">
        <v>367.00000762939453</v>
      </c>
    </row>
    <row r="178" spans="1:6" x14ac:dyDescent="0.25">
      <c r="A178" s="52">
        <v>45868</v>
      </c>
      <c r="B178" s="51" t="s">
        <v>424</v>
      </c>
      <c r="C178" s="51">
        <v>10005</v>
      </c>
      <c r="D178" s="51">
        <v>5</v>
      </c>
      <c r="E178" s="54">
        <v>82.849998474121094</v>
      </c>
      <c r="F178" s="54">
        <v>414.24999237060547</v>
      </c>
    </row>
    <row r="179" spans="1:6" x14ac:dyDescent="0.25">
      <c r="A179" s="50">
        <v>45869</v>
      </c>
      <c r="B179" s="49" t="s">
        <v>424</v>
      </c>
      <c r="C179" s="49">
        <v>10005</v>
      </c>
      <c r="D179" s="49">
        <v>5</v>
      </c>
      <c r="E179" s="53">
        <v>11.470000267028809</v>
      </c>
      <c r="F179" s="53">
        <v>57.350001335144043</v>
      </c>
    </row>
    <row r="180" spans="1:6" x14ac:dyDescent="0.25">
      <c r="A180" s="52">
        <v>45870</v>
      </c>
      <c r="B180" s="51" t="s">
        <v>424</v>
      </c>
      <c r="C180" s="51">
        <v>10005</v>
      </c>
      <c r="D180" s="51">
        <v>2</v>
      </c>
      <c r="E180" s="54">
        <v>46.380001068115234</v>
      </c>
      <c r="F180" s="54">
        <v>92.760002136230469</v>
      </c>
    </row>
    <row r="181" spans="1:6" x14ac:dyDescent="0.25">
      <c r="A181" s="50">
        <v>45871</v>
      </c>
      <c r="B181" s="49" t="s">
        <v>424</v>
      </c>
      <c r="C181" s="49">
        <v>10005</v>
      </c>
      <c r="D181" s="49">
        <v>5</v>
      </c>
      <c r="E181" s="53">
        <v>90.139999389648438</v>
      </c>
      <c r="F181" s="53">
        <v>450.69999694824219</v>
      </c>
    </row>
    <row r="182" spans="1:6" x14ac:dyDescent="0.25">
      <c r="A182" s="52">
        <v>45872</v>
      </c>
      <c r="B182" s="51" t="s">
        <v>424</v>
      </c>
      <c r="C182" s="51">
        <v>10005</v>
      </c>
      <c r="D182" s="51">
        <v>6</v>
      </c>
      <c r="E182" s="54">
        <v>95.199996948242188</v>
      </c>
      <c r="F182" s="54">
        <v>571.19998168945313</v>
      </c>
    </row>
    <row r="183" spans="1:6" x14ac:dyDescent="0.25">
      <c r="A183" s="50">
        <v>45873</v>
      </c>
      <c r="B183" s="49" t="s">
        <v>424</v>
      </c>
      <c r="C183" s="49">
        <v>10005</v>
      </c>
      <c r="D183" s="49">
        <v>2</v>
      </c>
      <c r="E183" s="53">
        <v>34.25</v>
      </c>
      <c r="F183" s="53">
        <v>68.5</v>
      </c>
    </row>
    <row r="184" spans="1:6" x14ac:dyDescent="0.25">
      <c r="A184" s="52">
        <v>45874</v>
      </c>
      <c r="B184" s="51" t="s">
        <v>424</v>
      </c>
      <c r="C184" s="51">
        <v>10005</v>
      </c>
      <c r="D184" s="51">
        <v>6</v>
      </c>
      <c r="E184" s="54">
        <v>50.639999389648438</v>
      </c>
      <c r="F184" s="54">
        <v>303.83999633789063</v>
      </c>
    </row>
    <row r="185" spans="1:6" x14ac:dyDescent="0.25">
      <c r="A185" s="50">
        <v>45875</v>
      </c>
      <c r="B185" s="49" t="s">
        <v>424</v>
      </c>
      <c r="C185" s="49">
        <v>10005</v>
      </c>
      <c r="D185" s="49">
        <v>6</v>
      </c>
      <c r="E185" s="53">
        <v>43.099998474121094</v>
      </c>
      <c r="F185" s="53">
        <v>258.59999084472656</v>
      </c>
    </row>
    <row r="186" spans="1:6" x14ac:dyDescent="0.25">
      <c r="A186" s="52">
        <v>45876</v>
      </c>
      <c r="B186" s="51" t="s">
        <v>424</v>
      </c>
      <c r="C186" s="51">
        <v>10005</v>
      </c>
      <c r="D186" s="51">
        <v>2</v>
      </c>
      <c r="E186" s="54">
        <v>74.860000610351563</v>
      </c>
      <c r="F186" s="54">
        <v>149.72000122070313</v>
      </c>
    </row>
    <row r="187" spans="1:6" x14ac:dyDescent="0.25">
      <c r="A187" s="50">
        <v>45877</v>
      </c>
      <c r="B187" s="49" t="s">
        <v>424</v>
      </c>
      <c r="C187" s="49">
        <v>10005</v>
      </c>
      <c r="D187" s="49">
        <v>7</v>
      </c>
      <c r="E187" s="53">
        <v>61.970001220703125</v>
      </c>
      <c r="F187" s="53">
        <v>433.79000854492188</v>
      </c>
    </row>
    <row r="188" spans="1:6" x14ac:dyDescent="0.25">
      <c r="A188" s="52">
        <v>45878</v>
      </c>
      <c r="B188" s="51" t="s">
        <v>424</v>
      </c>
      <c r="C188" s="51">
        <v>10005</v>
      </c>
      <c r="D188" s="51">
        <v>5</v>
      </c>
      <c r="E188" s="54">
        <v>57.889999389648438</v>
      </c>
      <c r="F188" s="54">
        <v>289.44999694824219</v>
      </c>
    </row>
    <row r="189" spans="1:6" x14ac:dyDescent="0.25">
      <c r="A189" s="50">
        <v>45879</v>
      </c>
      <c r="B189" s="49" t="s">
        <v>424</v>
      </c>
      <c r="C189" s="49">
        <v>10005</v>
      </c>
      <c r="D189" s="49">
        <v>6</v>
      </c>
      <c r="E189" s="53">
        <v>38.099998474121094</v>
      </c>
      <c r="F189" s="53">
        <v>228.59999084472656</v>
      </c>
    </row>
    <row r="190" spans="1:6" x14ac:dyDescent="0.25">
      <c r="A190" s="52">
        <v>45880</v>
      </c>
      <c r="B190" s="51" t="s">
        <v>424</v>
      </c>
      <c r="C190" s="51">
        <v>10005</v>
      </c>
      <c r="D190" s="51">
        <v>6</v>
      </c>
      <c r="E190" s="54">
        <v>67.980003356933594</v>
      </c>
      <c r="F190" s="54">
        <v>407.88002014160156</v>
      </c>
    </row>
    <row r="191" spans="1:6" x14ac:dyDescent="0.25">
      <c r="A191" s="50">
        <v>45881</v>
      </c>
      <c r="B191" s="49" t="s">
        <v>424</v>
      </c>
      <c r="C191" s="49">
        <v>10005</v>
      </c>
      <c r="D191" s="49">
        <v>8</v>
      </c>
      <c r="E191" s="53">
        <v>65.779998779296875</v>
      </c>
      <c r="F191" s="53">
        <v>526.239990234375</v>
      </c>
    </row>
    <row r="192" spans="1:6" x14ac:dyDescent="0.25">
      <c r="A192" s="52">
        <v>45882</v>
      </c>
      <c r="B192" s="51" t="s">
        <v>424</v>
      </c>
      <c r="C192" s="51">
        <v>10005</v>
      </c>
      <c r="D192" s="51">
        <v>7</v>
      </c>
      <c r="E192" s="54">
        <v>92.629997253417969</v>
      </c>
      <c r="F192" s="54">
        <v>648.40998077392578</v>
      </c>
    </row>
    <row r="193" spans="1:6" x14ac:dyDescent="0.25">
      <c r="A193" s="50">
        <v>45883</v>
      </c>
      <c r="B193" s="49" t="s">
        <v>424</v>
      </c>
      <c r="C193" s="49">
        <v>10005</v>
      </c>
      <c r="D193" s="49">
        <v>8</v>
      </c>
      <c r="E193" s="53">
        <v>13.689999580383301</v>
      </c>
      <c r="F193" s="53">
        <v>109.51999664306641</v>
      </c>
    </row>
    <row r="194" spans="1:6" x14ac:dyDescent="0.25">
      <c r="A194" s="52">
        <v>45884</v>
      </c>
      <c r="B194" s="51" t="s">
        <v>424</v>
      </c>
      <c r="C194" s="51">
        <v>10005</v>
      </c>
      <c r="D194" s="51">
        <v>7</v>
      </c>
      <c r="E194" s="54">
        <v>77.010002136230469</v>
      </c>
      <c r="F194" s="54">
        <v>539.07001495361328</v>
      </c>
    </row>
    <row r="195" spans="1:6" x14ac:dyDescent="0.25">
      <c r="A195" s="50">
        <v>45885</v>
      </c>
      <c r="B195" s="49" t="s">
        <v>424</v>
      </c>
      <c r="C195" s="49">
        <v>10005</v>
      </c>
      <c r="D195" s="49">
        <v>2</v>
      </c>
      <c r="E195" s="53">
        <v>56.659999847412109</v>
      </c>
      <c r="F195" s="53">
        <v>113.31999969482422</v>
      </c>
    </row>
    <row r="196" spans="1:6" x14ac:dyDescent="0.25">
      <c r="A196" s="52">
        <v>45886</v>
      </c>
      <c r="B196" s="51" t="s">
        <v>424</v>
      </c>
      <c r="C196" s="51">
        <v>10005</v>
      </c>
      <c r="D196" s="51">
        <v>4</v>
      </c>
      <c r="E196" s="54">
        <v>54.729999542236328</v>
      </c>
      <c r="F196" s="54">
        <v>218.91999816894531</v>
      </c>
    </row>
    <row r="197" spans="1:6" x14ac:dyDescent="0.25">
      <c r="A197" s="50">
        <v>45887</v>
      </c>
      <c r="B197" s="49" t="s">
        <v>424</v>
      </c>
      <c r="C197" s="49">
        <v>10005</v>
      </c>
      <c r="D197" s="49">
        <v>6</v>
      </c>
      <c r="E197" s="53">
        <v>42.490001678466797</v>
      </c>
      <c r="F197" s="53">
        <v>254.94001007080078</v>
      </c>
    </row>
    <row r="198" spans="1:6" x14ac:dyDescent="0.25">
      <c r="A198" s="52">
        <v>45888</v>
      </c>
      <c r="B198" s="51" t="s">
        <v>424</v>
      </c>
      <c r="C198" s="51">
        <v>10005</v>
      </c>
      <c r="D198" s="51">
        <v>5</v>
      </c>
      <c r="E198" s="54">
        <v>94.860000610351563</v>
      </c>
      <c r="F198" s="54">
        <v>474.30000305175781</v>
      </c>
    </row>
    <row r="199" spans="1:6" x14ac:dyDescent="0.25">
      <c r="A199" s="50">
        <v>45859</v>
      </c>
      <c r="B199" s="49" t="s">
        <v>425</v>
      </c>
      <c r="C199" s="49">
        <v>10006</v>
      </c>
      <c r="D199" s="49">
        <v>5</v>
      </c>
      <c r="E199" s="53">
        <v>18.559999465942383</v>
      </c>
      <c r="F199" s="53">
        <v>92.799997329711914</v>
      </c>
    </row>
    <row r="200" spans="1:6" x14ac:dyDescent="0.25">
      <c r="A200" s="52">
        <v>45860</v>
      </c>
      <c r="B200" s="51" t="s">
        <v>425</v>
      </c>
      <c r="C200" s="51">
        <v>10006</v>
      </c>
      <c r="D200" s="51">
        <v>5</v>
      </c>
      <c r="E200" s="54">
        <v>98.019996643066406</v>
      </c>
      <c r="F200" s="54">
        <v>490.09998321533203</v>
      </c>
    </row>
    <row r="201" spans="1:6" x14ac:dyDescent="0.25">
      <c r="A201" s="50">
        <v>45861</v>
      </c>
      <c r="B201" s="49" t="s">
        <v>425</v>
      </c>
      <c r="C201" s="49">
        <v>10006</v>
      </c>
      <c r="D201" s="49">
        <v>5</v>
      </c>
      <c r="E201" s="53">
        <v>86.25</v>
      </c>
      <c r="F201" s="53">
        <v>431.25</v>
      </c>
    </row>
    <row r="202" spans="1:6" x14ac:dyDescent="0.25">
      <c r="A202" s="52">
        <v>45862</v>
      </c>
      <c r="B202" s="51" t="s">
        <v>425</v>
      </c>
      <c r="C202" s="51">
        <v>10006</v>
      </c>
      <c r="D202" s="51">
        <v>5</v>
      </c>
      <c r="E202" s="54">
        <v>67.75</v>
      </c>
      <c r="F202" s="54">
        <v>338.75</v>
      </c>
    </row>
    <row r="203" spans="1:6" x14ac:dyDescent="0.25">
      <c r="A203" s="50">
        <v>45863</v>
      </c>
      <c r="B203" s="49" t="s">
        <v>425</v>
      </c>
      <c r="C203" s="49">
        <v>10006</v>
      </c>
      <c r="D203" s="49">
        <v>4</v>
      </c>
      <c r="E203" s="53">
        <v>55.419998168945313</v>
      </c>
      <c r="F203" s="53">
        <v>221.67999267578125</v>
      </c>
    </row>
    <row r="204" spans="1:6" x14ac:dyDescent="0.25">
      <c r="A204" s="52">
        <v>45864</v>
      </c>
      <c r="B204" s="51" t="s">
        <v>425</v>
      </c>
      <c r="C204" s="51">
        <v>10006</v>
      </c>
      <c r="D204" s="51">
        <v>7</v>
      </c>
      <c r="E204" s="54">
        <v>82.480003356933594</v>
      </c>
      <c r="F204" s="54">
        <v>577.36002349853516</v>
      </c>
    </row>
    <row r="205" spans="1:6" x14ac:dyDescent="0.25">
      <c r="A205" s="50">
        <v>45865</v>
      </c>
      <c r="B205" s="49" t="s">
        <v>425</v>
      </c>
      <c r="C205" s="49">
        <v>10006</v>
      </c>
      <c r="D205" s="49">
        <v>9</v>
      </c>
      <c r="E205" s="53">
        <v>59.669998168945313</v>
      </c>
      <c r="F205" s="53">
        <v>537.02998352050781</v>
      </c>
    </row>
    <row r="206" spans="1:6" x14ac:dyDescent="0.25">
      <c r="A206" s="52">
        <v>45866</v>
      </c>
      <c r="B206" s="51" t="s">
        <v>425</v>
      </c>
      <c r="C206" s="51">
        <v>10006</v>
      </c>
      <c r="D206" s="51">
        <v>5</v>
      </c>
      <c r="E206" s="54">
        <v>71.889999389648438</v>
      </c>
      <c r="F206" s="54">
        <v>359.44999694824219</v>
      </c>
    </row>
    <row r="207" spans="1:6" x14ac:dyDescent="0.25">
      <c r="A207" s="50">
        <v>45867</v>
      </c>
      <c r="B207" s="49" t="s">
        <v>425</v>
      </c>
      <c r="C207" s="49">
        <v>10006</v>
      </c>
      <c r="D207" s="49">
        <v>1</v>
      </c>
      <c r="E207" s="53">
        <v>86.819999694824219</v>
      </c>
      <c r="F207" s="53">
        <v>86.819999694824219</v>
      </c>
    </row>
    <row r="208" spans="1:6" x14ac:dyDescent="0.25">
      <c r="A208" s="52">
        <v>45868</v>
      </c>
      <c r="B208" s="51" t="s">
        <v>425</v>
      </c>
      <c r="C208" s="51">
        <v>10006</v>
      </c>
      <c r="D208" s="51">
        <v>6</v>
      </c>
      <c r="E208" s="54">
        <v>95.339996337890625</v>
      </c>
      <c r="F208" s="54">
        <v>572.03997802734375</v>
      </c>
    </row>
    <row r="209" spans="1:6" x14ac:dyDescent="0.25">
      <c r="A209" s="50">
        <v>45869</v>
      </c>
      <c r="B209" s="49" t="s">
        <v>425</v>
      </c>
      <c r="C209" s="49">
        <v>10006</v>
      </c>
      <c r="D209" s="49">
        <v>5</v>
      </c>
      <c r="E209" s="53">
        <v>13.020000457763672</v>
      </c>
      <c r="F209" s="53">
        <v>65.100002288818359</v>
      </c>
    </row>
    <row r="210" spans="1:6" x14ac:dyDescent="0.25">
      <c r="A210" s="52">
        <v>45870</v>
      </c>
      <c r="B210" s="51" t="s">
        <v>425</v>
      </c>
      <c r="C210" s="51">
        <v>10006</v>
      </c>
      <c r="D210" s="51">
        <v>4</v>
      </c>
      <c r="E210" s="54">
        <v>38.849998474121094</v>
      </c>
      <c r="F210" s="54">
        <v>155.39999389648438</v>
      </c>
    </row>
    <row r="211" spans="1:6" x14ac:dyDescent="0.25">
      <c r="A211" s="50">
        <v>45871</v>
      </c>
      <c r="B211" s="49" t="s">
        <v>425</v>
      </c>
      <c r="C211" s="49">
        <v>10006</v>
      </c>
      <c r="D211" s="49">
        <v>3</v>
      </c>
      <c r="E211" s="53">
        <v>42.450000762939453</v>
      </c>
      <c r="F211" s="53">
        <v>127.35000228881836</v>
      </c>
    </row>
    <row r="212" spans="1:6" x14ac:dyDescent="0.25">
      <c r="A212" s="52">
        <v>45872</v>
      </c>
      <c r="B212" s="51" t="s">
        <v>425</v>
      </c>
      <c r="C212" s="51">
        <v>10006</v>
      </c>
      <c r="D212" s="51">
        <v>5</v>
      </c>
      <c r="E212" s="54">
        <v>45.740001678466797</v>
      </c>
      <c r="F212" s="54">
        <v>228.70000839233398</v>
      </c>
    </row>
    <row r="213" spans="1:6" x14ac:dyDescent="0.25">
      <c r="A213" s="50">
        <v>45873</v>
      </c>
      <c r="B213" s="49" t="s">
        <v>425</v>
      </c>
      <c r="C213" s="49">
        <v>10006</v>
      </c>
      <c r="D213" s="49">
        <v>2</v>
      </c>
      <c r="E213" s="53">
        <v>53.409999847412109</v>
      </c>
      <c r="F213" s="53">
        <v>106.81999969482422</v>
      </c>
    </row>
    <row r="214" spans="1:6" x14ac:dyDescent="0.25">
      <c r="A214" s="52">
        <v>45874</v>
      </c>
      <c r="B214" s="51" t="s">
        <v>425</v>
      </c>
      <c r="C214" s="51">
        <v>10006</v>
      </c>
      <c r="D214" s="51">
        <v>6</v>
      </c>
      <c r="E214" s="54">
        <v>74.720001220703125</v>
      </c>
      <c r="F214" s="54">
        <v>448.32000732421875</v>
      </c>
    </row>
    <row r="215" spans="1:6" x14ac:dyDescent="0.25">
      <c r="A215" s="50">
        <v>45875</v>
      </c>
      <c r="B215" s="49" t="s">
        <v>425</v>
      </c>
      <c r="C215" s="49">
        <v>10006</v>
      </c>
      <c r="D215" s="49">
        <v>4</v>
      </c>
      <c r="E215" s="53">
        <v>80.319999694824219</v>
      </c>
      <c r="F215" s="53">
        <v>321.27999877929688</v>
      </c>
    </row>
    <row r="216" spans="1:6" x14ac:dyDescent="0.25">
      <c r="A216" s="52">
        <v>45876</v>
      </c>
      <c r="B216" s="51" t="s">
        <v>425</v>
      </c>
      <c r="C216" s="51">
        <v>10006</v>
      </c>
      <c r="D216" s="51">
        <v>8</v>
      </c>
      <c r="E216" s="54">
        <v>43.349998474121094</v>
      </c>
      <c r="F216" s="54">
        <v>346.79998779296875</v>
      </c>
    </row>
    <row r="217" spans="1:6" x14ac:dyDescent="0.25">
      <c r="A217" s="50">
        <v>45877</v>
      </c>
      <c r="B217" s="49" t="s">
        <v>425</v>
      </c>
      <c r="C217" s="49">
        <v>10006</v>
      </c>
      <c r="D217" s="49">
        <v>1</v>
      </c>
      <c r="E217" s="53">
        <v>99.930000305175781</v>
      </c>
      <c r="F217" s="53">
        <v>99.930000305175781</v>
      </c>
    </row>
    <row r="218" spans="1:6" x14ac:dyDescent="0.25">
      <c r="A218" s="52">
        <v>45878</v>
      </c>
      <c r="B218" s="51" t="s">
        <v>425</v>
      </c>
      <c r="C218" s="51">
        <v>10006</v>
      </c>
      <c r="D218" s="51">
        <v>6</v>
      </c>
      <c r="E218" s="54">
        <v>42.970001220703125</v>
      </c>
      <c r="F218" s="54">
        <v>257.82000732421875</v>
      </c>
    </row>
    <row r="219" spans="1:6" x14ac:dyDescent="0.25">
      <c r="A219" s="50">
        <v>45879</v>
      </c>
      <c r="B219" s="49" t="s">
        <v>425</v>
      </c>
      <c r="C219" s="49">
        <v>10006</v>
      </c>
      <c r="D219" s="49">
        <v>4</v>
      </c>
      <c r="E219" s="53">
        <v>68.720001220703125</v>
      </c>
      <c r="F219" s="53">
        <v>274.8800048828125</v>
      </c>
    </row>
    <row r="220" spans="1:6" x14ac:dyDescent="0.25">
      <c r="A220" s="52">
        <v>45880</v>
      </c>
      <c r="B220" s="51" t="s">
        <v>425</v>
      </c>
      <c r="C220" s="51">
        <v>10006</v>
      </c>
      <c r="D220" s="51">
        <v>10</v>
      </c>
      <c r="E220" s="54">
        <v>40.560001373291016</v>
      </c>
      <c r="F220" s="54">
        <v>405.60001373291016</v>
      </c>
    </row>
    <row r="221" spans="1:6" x14ac:dyDescent="0.25">
      <c r="A221" s="50">
        <v>45881</v>
      </c>
      <c r="B221" s="49" t="s">
        <v>425</v>
      </c>
      <c r="C221" s="49">
        <v>10006</v>
      </c>
      <c r="D221" s="49">
        <v>10</v>
      </c>
      <c r="E221" s="53">
        <v>42.409999847412109</v>
      </c>
      <c r="F221" s="53">
        <v>424.09999847412109</v>
      </c>
    </row>
    <row r="222" spans="1:6" x14ac:dyDescent="0.25">
      <c r="A222" s="52">
        <v>45882</v>
      </c>
      <c r="B222" s="51" t="s">
        <v>425</v>
      </c>
      <c r="C222" s="51">
        <v>10006</v>
      </c>
      <c r="D222" s="51">
        <v>7</v>
      </c>
      <c r="E222" s="54">
        <v>26.129999160766602</v>
      </c>
      <c r="F222" s="54">
        <v>182.90999412536621</v>
      </c>
    </row>
    <row r="223" spans="1:6" x14ac:dyDescent="0.25">
      <c r="A223" s="50">
        <v>45883</v>
      </c>
      <c r="B223" s="49" t="s">
        <v>425</v>
      </c>
      <c r="C223" s="49">
        <v>10006</v>
      </c>
      <c r="D223" s="49">
        <v>5</v>
      </c>
      <c r="E223" s="53">
        <v>41.880001068115234</v>
      </c>
      <c r="F223" s="53">
        <v>209.40000534057617</v>
      </c>
    </row>
    <row r="224" spans="1:6" x14ac:dyDescent="0.25">
      <c r="A224" s="52">
        <v>45884</v>
      </c>
      <c r="B224" s="51" t="s">
        <v>425</v>
      </c>
      <c r="C224" s="51">
        <v>10006</v>
      </c>
      <c r="D224" s="51">
        <v>5</v>
      </c>
      <c r="E224" s="54">
        <v>68.550003051757813</v>
      </c>
      <c r="F224" s="54">
        <v>342.75001525878906</v>
      </c>
    </row>
    <row r="225" spans="1:6" x14ac:dyDescent="0.25">
      <c r="A225" s="50">
        <v>45885</v>
      </c>
      <c r="B225" s="49" t="s">
        <v>425</v>
      </c>
      <c r="C225" s="49">
        <v>10006</v>
      </c>
      <c r="D225" s="49">
        <v>5</v>
      </c>
      <c r="E225" s="53">
        <v>19.059999465942383</v>
      </c>
      <c r="F225" s="53">
        <v>95.299997329711914</v>
      </c>
    </row>
    <row r="226" spans="1:6" x14ac:dyDescent="0.25">
      <c r="A226" s="52">
        <v>45886</v>
      </c>
      <c r="B226" s="51" t="s">
        <v>425</v>
      </c>
      <c r="C226" s="51">
        <v>10006</v>
      </c>
      <c r="D226" s="51">
        <v>7</v>
      </c>
      <c r="E226" s="54">
        <v>51.119998931884766</v>
      </c>
      <c r="F226" s="54">
        <v>357.83999252319336</v>
      </c>
    </row>
    <row r="227" spans="1:6" x14ac:dyDescent="0.25">
      <c r="A227" s="50">
        <v>45887</v>
      </c>
      <c r="B227" s="49" t="s">
        <v>425</v>
      </c>
      <c r="C227" s="49">
        <v>10006</v>
      </c>
      <c r="D227" s="49">
        <v>4</v>
      </c>
      <c r="E227" s="53">
        <v>14.5</v>
      </c>
      <c r="F227" s="53">
        <v>58</v>
      </c>
    </row>
    <row r="228" spans="1:6" x14ac:dyDescent="0.25">
      <c r="A228" s="52">
        <v>45888</v>
      </c>
      <c r="B228" s="51" t="s">
        <v>425</v>
      </c>
      <c r="C228" s="51">
        <v>10006</v>
      </c>
      <c r="D228" s="51">
        <v>6</v>
      </c>
      <c r="E228" s="54">
        <v>22</v>
      </c>
      <c r="F228" s="54">
        <v>132</v>
      </c>
    </row>
    <row r="229" spans="1:6" x14ac:dyDescent="0.25">
      <c r="A229" s="50">
        <v>45859</v>
      </c>
      <c r="B229" s="49" t="s">
        <v>426</v>
      </c>
      <c r="C229" s="49">
        <v>10007</v>
      </c>
      <c r="D229" s="49">
        <v>8</v>
      </c>
      <c r="E229" s="53">
        <v>52.770000457763672</v>
      </c>
      <c r="F229" s="53">
        <v>422.16000366210938</v>
      </c>
    </row>
    <row r="230" spans="1:6" x14ac:dyDescent="0.25">
      <c r="A230" s="52">
        <v>45860</v>
      </c>
      <c r="B230" s="51" t="s">
        <v>426</v>
      </c>
      <c r="C230" s="51">
        <v>10007</v>
      </c>
      <c r="D230" s="51">
        <v>2</v>
      </c>
      <c r="E230" s="54">
        <v>28.469999313354492</v>
      </c>
      <c r="F230" s="54">
        <v>56.939998626708984</v>
      </c>
    </row>
    <row r="231" spans="1:6" x14ac:dyDescent="0.25">
      <c r="A231" s="50">
        <v>45861</v>
      </c>
      <c r="B231" s="49" t="s">
        <v>426</v>
      </c>
      <c r="C231" s="49">
        <v>10007</v>
      </c>
      <c r="D231" s="49">
        <v>5</v>
      </c>
      <c r="E231" s="53">
        <v>9.8599996566772461</v>
      </c>
      <c r="F231" s="53">
        <v>49.29999828338623</v>
      </c>
    </row>
    <row r="232" spans="1:6" x14ac:dyDescent="0.25">
      <c r="A232" s="52">
        <v>45862</v>
      </c>
      <c r="B232" s="51" t="s">
        <v>426</v>
      </c>
      <c r="C232" s="51">
        <v>10007</v>
      </c>
      <c r="D232" s="51">
        <v>7</v>
      </c>
      <c r="E232" s="54">
        <v>37.669998168945313</v>
      </c>
      <c r="F232" s="54">
        <v>263.68998718261719</v>
      </c>
    </row>
    <row r="233" spans="1:6" x14ac:dyDescent="0.25">
      <c r="A233" s="50">
        <v>45863</v>
      </c>
      <c r="B233" s="49" t="s">
        <v>426</v>
      </c>
      <c r="C233" s="49">
        <v>10007</v>
      </c>
      <c r="D233" s="49">
        <v>3</v>
      </c>
      <c r="E233" s="53">
        <v>91.180000305175781</v>
      </c>
      <c r="F233" s="53">
        <v>273.54000091552734</v>
      </c>
    </row>
    <row r="234" spans="1:6" x14ac:dyDescent="0.25">
      <c r="A234" s="52">
        <v>45864</v>
      </c>
      <c r="B234" s="51" t="s">
        <v>426</v>
      </c>
      <c r="C234" s="51">
        <v>10007</v>
      </c>
      <c r="D234" s="51">
        <v>6</v>
      </c>
      <c r="E234" s="54">
        <v>95.160003662109375</v>
      </c>
      <c r="F234" s="54">
        <v>570.96002197265625</v>
      </c>
    </row>
    <row r="235" spans="1:6" x14ac:dyDescent="0.25">
      <c r="A235" s="50">
        <v>45865</v>
      </c>
      <c r="B235" s="49" t="s">
        <v>426</v>
      </c>
      <c r="C235" s="49">
        <v>10007</v>
      </c>
      <c r="D235" s="49">
        <v>7</v>
      </c>
      <c r="E235" s="53">
        <v>16.870000839233398</v>
      </c>
      <c r="F235" s="53">
        <v>118.09000587463379</v>
      </c>
    </row>
    <row r="236" spans="1:6" x14ac:dyDescent="0.25">
      <c r="A236" s="52">
        <v>45866</v>
      </c>
      <c r="B236" s="51" t="s">
        <v>426</v>
      </c>
      <c r="C236" s="51">
        <v>10007</v>
      </c>
      <c r="D236" s="51">
        <v>5</v>
      </c>
      <c r="E236" s="54">
        <v>41.599998474121094</v>
      </c>
      <c r="F236" s="54">
        <v>207.99999237060547</v>
      </c>
    </row>
    <row r="237" spans="1:6" x14ac:dyDescent="0.25">
      <c r="A237" s="50">
        <v>45867</v>
      </c>
      <c r="B237" s="49" t="s">
        <v>426</v>
      </c>
      <c r="C237" s="49">
        <v>10007</v>
      </c>
      <c r="D237" s="49">
        <v>5</v>
      </c>
      <c r="E237" s="53">
        <v>70.529998779296875</v>
      </c>
      <c r="F237" s="53">
        <v>352.64999389648438</v>
      </c>
    </row>
    <row r="238" spans="1:6" x14ac:dyDescent="0.25">
      <c r="A238" s="52">
        <v>45868</v>
      </c>
      <c r="B238" s="51" t="s">
        <v>426</v>
      </c>
      <c r="C238" s="51">
        <v>10007</v>
      </c>
      <c r="D238" s="51">
        <v>5</v>
      </c>
      <c r="E238" s="54">
        <v>31.25</v>
      </c>
      <c r="F238" s="54">
        <v>156.25</v>
      </c>
    </row>
    <row r="239" spans="1:6" x14ac:dyDescent="0.25">
      <c r="A239" s="50">
        <v>45869</v>
      </c>
      <c r="B239" s="49" t="s">
        <v>426</v>
      </c>
      <c r="C239" s="49">
        <v>10007</v>
      </c>
      <c r="D239" s="49">
        <v>3</v>
      </c>
      <c r="E239" s="53">
        <v>65.669998168945313</v>
      </c>
      <c r="F239" s="53">
        <v>197.00999450683594</v>
      </c>
    </row>
    <row r="240" spans="1:6" x14ac:dyDescent="0.25">
      <c r="A240" s="52">
        <v>45870</v>
      </c>
      <c r="B240" s="51" t="s">
        <v>426</v>
      </c>
      <c r="C240" s="51">
        <v>10007</v>
      </c>
      <c r="D240" s="51">
        <v>5</v>
      </c>
      <c r="E240" s="54">
        <v>80.169998168945313</v>
      </c>
      <c r="F240" s="54">
        <v>400.84999084472656</v>
      </c>
    </row>
    <row r="241" spans="1:6" x14ac:dyDescent="0.25">
      <c r="A241" s="50">
        <v>45871</v>
      </c>
      <c r="B241" s="49" t="s">
        <v>426</v>
      </c>
      <c r="C241" s="49">
        <v>10007</v>
      </c>
      <c r="D241" s="49">
        <v>5</v>
      </c>
      <c r="E241" s="53">
        <v>98.230003356933594</v>
      </c>
      <c r="F241" s="53">
        <v>491.15001678466797</v>
      </c>
    </row>
    <row r="242" spans="1:6" x14ac:dyDescent="0.25">
      <c r="A242" s="52">
        <v>45872</v>
      </c>
      <c r="B242" s="51" t="s">
        <v>426</v>
      </c>
      <c r="C242" s="51">
        <v>10007</v>
      </c>
      <c r="D242" s="51">
        <v>6</v>
      </c>
      <c r="E242" s="54">
        <v>30.319999694824219</v>
      </c>
      <c r="F242" s="54">
        <v>181.91999816894531</v>
      </c>
    </row>
    <row r="243" spans="1:6" x14ac:dyDescent="0.25">
      <c r="A243" s="50">
        <v>45873</v>
      </c>
      <c r="B243" s="49" t="s">
        <v>426</v>
      </c>
      <c r="C243" s="49">
        <v>10007</v>
      </c>
      <c r="D243" s="49">
        <v>4</v>
      </c>
      <c r="E243" s="53">
        <v>42.189998626708984</v>
      </c>
      <c r="F243" s="53">
        <v>168.75999450683594</v>
      </c>
    </row>
    <row r="244" spans="1:6" x14ac:dyDescent="0.25">
      <c r="A244" s="52">
        <v>45874</v>
      </c>
      <c r="B244" s="51" t="s">
        <v>426</v>
      </c>
      <c r="C244" s="51">
        <v>10007</v>
      </c>
      <c r="D244" s="51">
        <v>4</v>
      </c>
      <c r="E244" s="54">
        <v>9.869999885559082</v>
      </c>
      <c r="F244" s="54">
        <v>39.479999542236328</v>
      </c>
    </row>
    <row r="245" spans="1:6" x14ac:dyDescent="0.25">
      <c r="A245" s="50">
        <v>45875</v>
      </c>
      <c r="B245" s="49" t="s">
        <v>426</v>
      </c>
      <c r="C245" s="49">
        <v>10007</v>
      </c>
      <c r="D245" s="49">
        <v>4</v>
      </c>
      <c r="E245" s="53">
        <v>89.160003662109375</v>
      </c>
      <c r="F245" s="53">
        <v>356.6400146484375</v>
      </c>
    </row>
    <row r="246" spans="1:6" x14ac:dyDescent="0.25">
      <c r="A246" s="52">
        <v>45876</v>
      </c>
      <c r="B246" s="51" t="s">
        <v>426</v>
      </c>
      <c r="C246" s="51">
        <v>10007</v>
      </c>
      <c r="D246" s="51">
        <v>3</v>
      </c>
      <c r="E246" s="54">
        <v>68.55999755859375</v>
      </c>
      <c r="F246" s="54">
        <v>205.67999267578125</v>
      </c>
    </row>
    <row r="247" spans="1:6" x14ac:dyDescent="0.25">
      <c r="A247" s="50">
        <v>45877</v>
      </c>
      <c r="B247" s="49" t="s">
        <v>426</v>
      </c>
      <c r="C247" s="49">
        <v>10007</v>
      </c>
      <c r="D247" s="49">
        <v>4</v>
      </c>
      <c r="E247" s="53">
        <v>96.269996643066406</v>
      </c>
      <c r="F247" s="53">
        <v>385.07998657226563</v>
      </c>
    </row>
    <row r="248" spans="1:6" x14ac:dyDescent="0.25">
      <c r="A248" s="52">
        <v>45878</v>
      </c>
      <c r="B248" s="51" t="s">
        <v>426</v>
      </c>
      <c r="C248" s="51">
        <v>10007</v>
      </c>
      <c r="D248" s="51">
        <v>7</v>
      </c>
      <c r="E248" s="54">
        <v>65.760002136230469</v>
      </c>
      <c r="F248" s="54">
        <v>460.32001495361328</v>
      </c>
    </row>
    <row r="249" spans="1:6" x14ac:dyDescent="0.25">
      <c r="A249" s="50">
        <v>45879</v>
      </c>
      <c r="B249" s="49" t="s">
        <v>426</v>
      </c>
      <c r="C249" s="49">
        <v>10007</v>
      </c>
      <c r="D249" s="49">
        <v>6</v>
      </c>
      <c r="E249" s="53">
        <v>90.80999755859375</v>
      </c>
      <c r="F249" s="53">
        <v>544.8599853515625</v>
      </c>
    </row>
    <row r="250" spans="1:6" x14ac:dyDescent="0.25">
      <c r="A250" s="52">
        <v>45880</v>
      </c>
      <c r="B250" s="51" t="s">
        <v>426</v>
      </c>
      <c r="C250" s="51">
        <v>10007</v>
      </c>
      <c r="D250" s="51">
        <v>6</v>
      </c>
      <c r="E250" s="54">
        <v>57.689998626708984</v>
      </c>
      <c r="F250" s="54">
        <v>346.13999176025391</v>
      </c>
    </row>
    <row r="251" spans="1:6" x14ac:dyDescent="0.25">
      <c r="A251" s="50">
        <v>45881</v>
      </c>
      <c r="B251" s="49" t="s">
        <v>426</v>
      </c>
      <c r="C251" s="49">
        <v>10007</v>
      </c>
      <c r="D251" s="49">
        <v>2</v>
      </c>
      <c r="E251" s="53">
        <v>28.639999389648438</v>
      </c>
      <c r="F251" s="53">
        <v>57.279998779296875</v>
      </c>
    </row>
    <row r="252" spans="1:6" x14ac:dyDescent="0.25">
      <c r="A252" s="52">
        <v>45882</v>
      </c>
      <c r="B252" s="51" t="s">
        <v>426</v>
      </c>
      <c r="C252" s="51">
        <v>10007</v>
      </c>
      <c r="D252" s="51">
        <v>4</v>
      </c>
      <c r="E252" s="54">
        <v>28.819999694824219</v>
      </c>
      <c r="F252" s="54">
        <v>115.27999877929688</v>
      </c>
    </row>
    <row r="253" spans="1:6" x14ac:dyDescent="0.25">
      <c r="A253" s="50">
        <v>45883</v>
      </c>
      <c r="B253" s="49" t="s">
        <v>426</v>
      </c>
      <c r="C253" s="49">
        <v>10007</v>
      </c>
      <c r="D253" s="49">
        <v>5</v>
      </c>
      <c r="E253" s="53">
        <v>62.040000915527344</v>
      </c>
      <c r="F253" s="53">
        <v>310.20000457763672</v>
      </c>
    </row>
    <row r="254" spans="1:6" x14ac:dyDescent="0.25">
      <c r="A254" s="52">
        <v>45884</v>
      </c>
      <c r="B254" s="51" t="s">
        <v>426</v>
      </c>
      <c r="C254" s="51">
        <v>10007</v>
      </c>
      <c r="D254" s="51">
        <v>8</v>
      </c>
      <c r="E254" s="54">
        <v>21.590000152587891</v>
      </c>
      <c r="F254" s="54">
        <v>172.72000122070313</v>
      </c>
    </row>
    <row r="255" spans="1:6" x14ac:dyDescent="0.25">
      <c r="A255" s="50">
        <v>45885</v>
      </c>
      <c r="B255" s="49" t="s">
        <v>426</v>
      </c>
      <c r="C255" s="49">
        <v>10007</v>
      </c>
      <c r="D255" s="49">
        <v>3</v>
      </c>
      <c r="E255" s="53">
        <v>31.649999618530273</v>
      </c>
      <c r="F255" s="53">
        <v>94.94999885559082</v>
      </c>
    </row>
    <row r="256" spans="1:6" x14ac:dyDescent="0.25">
      <c r="A256" s="52">
        <v>45886</v>
      </c>
      <c r="B256" s="51" t="s">
        <v>426</v>
      </c>
      <c r="C256" s="51">
        <v>10007</v>
      </c>
      <c r="D256" s="51">
        <v>2</v>
      </c>
      <c r="E256" s="54">
        <v>31.870000839233398</v>
      </c>
      <c r="F256" s="54">
        <v>63.740001678466797</v>
      </c>
    </row>
    <row r="257" spans="1:6" x14ac:dyDescent="0.25">
      <c r="A257" s="50">
        <v>45887</v>
      </c>
      <c r="B257" s="49" t="s">
        <v>426</v>
      </c>
      <c r="C257" s="49">
        <v>10007</v>
      </c>
      <c r="D257" s="49">
        <v>7</v>
      </c>
      <c r="E257" s="53">
        <v>55.709999084472656</v>
      </c>
      <c r="F257" s="53">
        <v>389.96999359130859</v>
      </c>
    </row>
    <row r="258" spans="1:6" x14ac:dyDescent="0.25">
      <c r="A258" s="52">
        <v>45888</v>
      </c>
      <c r="B258" s="51" t="s">
        <v>426</v>
      </c>
      <c r="C258" s="51">
        <v>10007</v>
      </c>
      <c r="D258" s="51">
        <v>5</v>
      </c>
      <c r="E258" s="54">
        <v>11.710000038146973</v>
      </c>
      <c r="F258" s="54">
        <v>58.550000190734863</v>
      </c>
    </row>
    <row r="259" spans="1:6" x14ac:dyDescent="0.25">
      <c r="A259" s="50">
        <v>45859</v>
      </c>
      <c r="B259" s="49" t="s">
        <v>427</v>
      </c>
      <c r="C259" s="49">
        <v>10008</v>
      </c>
      <c r="D259" s="49">
        <v>7</v>
      </c>
      <c r="E259" s="53">
        <v>28.680000305175781</v>
      </c>
      <c r="F259" s="53">
        <v>200.76000213623047</v>
      </c>
    </row>
    <row r="260" spans="1:6" x14ac:dyDescent="0.25">
      <c r="A260" s="52">
        <v>45860</v>
      </c>
      <c r="B260" s="51" t="s">
        <v>427</v>
      </c>
      <c r="C260" s="51">
        <v>10008</v>
      </c>
      <c r="D260" s="51">
        <v>6</v>
      </c>
      <c r="E260" s="54">
        <v>59.430000305175781</v>
      </c>
      <c r="F260" s="54">
        <v>356.58000183105469</v>
      </c>
    </row>
    <row r="261" spans="1:6" x14ac:dyDescent="0.25">
      <c r="A261" s="50">
        <v>45861</v>
      </c>
      <c r="B261" s="49" t="s">
        <v>427</v>
      </c>
      <c r="C261" s="49">
        <v>10008</v>
      </c>
      <c r="D261" s="49">
        <v>6</v>
      </c>
      <c r="E261" s="53">
        <v>44.970001220703125</v>
      </c>
      <c r="F261" s="53">
        <v>269.82000732421875</v>
      </c>
    </row>
    <row r="262" spans="1:6" x14ac:dyDescent="0.25">
      <c r="A262" s="52">
        <v>45862</v>
      </c>
      <c r="B262" s="51" t="s">
        <v>427</v>
      </c>
      <c r="C262" s="51">
        <v>10008</v>
      </c>
      <c r="D262" s="51">
        <v>8</v>
      </c>
      <c r="E262" s="54">
        <v>46.159999847412109</v>
      </c>
      <c r="F262" s="54">
        <v>369.27999877929688</v>
      </c>
    </row>
    <row r="263" spans="1:6" x14ac:dyDescent="0.25">
      <c r="A263" s="50">
        <v>45863</v>
      </c>
      <c r="B263" s="49" t="s">
        <v>427</v>
      </c>
      <c r="C263" s="49">
        <v>10008</v>
      </c>
      <c r="D263" s="49">
        <v>5</v>
      </c>
      <c r="E263" s="53">
        <v>82.370002746582031</v>
      </c>
      <c r="F263" s="53">
        <v>411.85001373291016</v>
      </c>
    </row>
    <row r="264" spans="1:6" x14ac:dyDescent="0.25">
      <c r="A264" s="52">
        <v>45864</v>
      </c>
      <c r="B264" s="51" t="s">
        <v>427</v>
      </c>
      <c r="C264" s="51">
        <v>10008</v>
      </c>
      <c r="D264" s="51">
        <v>6</v>
      </c>
      <c r="E264" s="54">
        <v>41.169998168945313</v>
      </c>
      <c r="F264" s="54">
        <v>247.01998901367188</v>
      </c>
    </row>
    <row r="265" spans="1:6" x14ac:dyDescent="0.25">
      <c r="A265" s="50">
        <v>45865</v>
      </c>
      <c r="B265" s="49" t="s">
        <v>427</v>
      </c>
      <c r="C265" s="49">
        <v>10008</v>
      </c>
      <c r="D265" s="49">
        <v>3</v>
      </c>
      <c r="E265" s="53">
        <v>58.369998931884766</v>
      </c>
      <c r="F265" s="53">
        <v>175.1099967956543</v>
      </c>
    </row>
    <row r="266" spans="1:6" x14ac:dyDescent="0.25">
      <c r="A266" s="52">
        <v>45866</v>
      </c>
      <c r="B266" s="51" t="s">
        <v>427</v>
      </c>
      <c r="C266" s="51">
        <v>10008</v>
      </c>
      <c r="D266" s="51">
        <v>7</v>
      </c>
      <c r="E266" s="54">
        <v>72.680000305175781</v>
      </c>
      <c r="F266" s="54">
        <v>508.76000213623047</v>
      </c>
    </row>
    <row r="267" spans="1:6" x14ac:dyDescent="0.25">
      <c r="A267" s="50">
        <v>45867</v>
      </c>
      <c r="B267" s="49" t="s">
        <v>427</v>
      </c>
      <c r="C267" s="49">
        <v>10008</v>
      </c>
      <c r="D267" s="49">
        <v>4</v>
      </c>
      <c r="E267" s="53">
        <v>66.55999755859375</v>
      </c>
      <c r="F267" s="53">
        <v>266.239990234375</v>
      </c>
    </row>
    <row r="268" spans="1:6" x14ac:dyDescent="0.25">
      <c r="A268" s="52">
        <v>45868</v>
      </c>
      <c r="B268" s="51" t="s">
        <v>427</v>
      </c>
      <c r="C268" s="51">
        <v>10008</v>
      </c>
      <c r="D268" s="51">
        <v>5</v>
      </c>
      <c r="E268" s="54">
        <v>64.19000244140625</v>
      </c>
      <c r="F268" s="54">
        <v>320.95001220703125</v>
      </c>
    </row>
    <row r="269" spans="1:6" x14ac:dyDescent="0.25">
      <c r="A269" s="50">
        <v>45869</v>
      </c>
      <c r="B269" s="49" t="s">
        <v>427</v>
      </c>
      <c r="C269" s="49">
        <v>10008</v>
      </c>
      <c r="D269" s="49">
        <v>7</v>
      </c>
      <c r="E269" s="53">
        <v>53.669998168945313</v>
      </c>
      <c r="F269" s="53">
        <v>375.68998718261719</v>
      </c>
    </row>
    <row r="270" spans="1:6" x14ac:dyDescent="0.25">
      <c r="A270" s="52">
        <v>45870</v>
      </c>
      <c r="B270" s="51" t="s">
        <v>427</v>
      </c>
      <c r="C270" s="51">
        <v>10008</v>
      </c>
      <c r="D270" s="51">
        <v>7</v>
      </c>
      <c r="E270" s="54">
        <v>50.200000762939453</v>
      </c>
      <c r="F270" s="54">
        <v>351.40000534057617</v>
      </c>
    </row>
    <row r="271" spans="1:6" x14ac:dyDescent="0.25">
      <c r="A271" s="50">
        <v>45871</v>
      </c>
      <c r="B271" s="49" t="s">
        <v>427</v>
      </c>
      <c r="C271" s="49">
        <v>10008</v>
      </c>
      <c r="D271" s="49">
        <v>5</v>
      </c>
      <c r="E271" s="53">
        <v>27.020000457763672</v>
      </c>
      <c r="F271" s="53">
        <v>135.10000228881836</v>
      </c>
    </row>
    <row r="272" spans="1:6" x14ac:dyDescent="0.25">
      <c r="A272" s="52">
        <v>45872</v>
      </c>
      <c r="B272" s="51" t="s">
        <v>427</v>
      </c>
      <c r="C272" s="51">
        <v>10008</v>
      </c>
      <c r="D272" s="51">
        <v>2</v>
      </c>
      <c r="E272" s="54">
        <v>39.060001373291016</v>
      </c>
      <c r="F272" s="54">
        <v>78.120002746582031</v>
      </c>
    </row>
    <row r="273" spans="1:6" x14ac:dyDescent="0.25">
      <c r="A273" s="50">
        <v>45873</v>
      </c>
      <c r="B273" s="49" t="s">
        <v>427</v>
      </c>
      <c r="C273" s="49">
        <v>10008</v>
      </c>
      <c r="D273" s="49">
        <v>3</v>
      </c>
      <c r="E273" s="53">
        <v>5.429999828338623</v>
      </c>
      <c r="F273" s="53">
        <v>16.289999485015869</v>
      </c>
    </row>
    <row r="274" spans="1:6" x14ac:dyDescent="0.25">
      <c r="A274" s="52">
        <v>45874</v>
      </c>
      <c r="B274" s="51" t="s">
        <v>427</v>
      </c>
      <c r="C274" s="51">
        <v>10008</v>
      </c>
      <c r="D274" s="51">
        <v>1</v>
      </c>
      <c r="E274" s="54">
        <v>54.279998779296875</v>
      </c>
      <c r="F274" s="54">
        <v>54.279998779296875</v>
      </c>
    </row>
    <row r="275" spans="1:6" x14ac:dyDescent="0.25">
      <c r="A275" s="50">
        <v>45875</v>
      </c>
      <c r="B275" s="49" t="s">
        <v>427</v>
      </c>
      <c r="C275" s="49">
        <v>10008</v>
      </c>
      <c r="D275" s="49">
        <v>6</v>
      </c>
      <c r="E275" s="53">
        <v>90.849998474121094</v>
      </c>
      <c r="F275" s="53">
        <v>545.09999084472656</v>
      </c>
    </row>
    <row r="276" spans="1:6" x14ac:dyDescent="0.25">
      <c r="A276" s="52">
        <v>45876</v>
      </c>
      <c r="B276" s="51" t="s">
        <v>427</v>
      </c>
      <c r="C276" s="51">
        <v>10008</v>
      </c>
      <c r="D276" s="51">
        <v>5</v>
      </c>
      <c r="E276" s="54">
        <v>54.549999237060547</v>
      </c>
      <c r="F276" s="54">
        <v>272.74999618530273</v>
      </c>
    </row>
    <row r="277" spans="1:6" x14ac:dyDescent="0.25">
      <c r="A277" s="50">
        <v>45877</v>
      </c>
      <c r="B277" s="49" t="s">
        <v>427</v>
      </c>
      <c r="C277" s="49">
        <v>10008</v>
      </c>
      <c r="D277" s="49">
        <v>2</v>
      </c>
      <c r="E277" s="53">
        <v>16.299999237060547</v>
      </c>
      <c r="F277" s="53">
        <v>32.599998474121094</v>
      </c>
    </row>
    <row r="278" spans="1:6" x14ac:dyDescent="0.25">
      <c r="A278" s="52">
        <v>45878</v>
      </c>
      <c r="B278" s="51" t="s">
        <v>427</v>
      </c>
      <c r="C278" s="51">
        <v>10008</v>
      </c>
      <c r="D278" s="51">
        <v>5</v>
      </c>
      <c r="E278" s="54">
        <v>26.239999771118164</v>
      </c>
      <c r="F278" s="54">
        <v>131.19999885559082</v>
      </c>
    </row>
    <row r="279" spans="1:6" x14ac:dyDescent="0.25">
      <c r="A279" s="50">
        <v>45879</v>
      </c>
      <c r="B279" s="49" t="s">
        <v>427</v>
      </c>
      <c r="C279" s="49">
        <v>10008</v>
      </c>
      <c r="D279" s="49">
        <v>4</v>
      </c>
      <c r="E279" s="53">
        <v>19.739999771118164</v>
      </c>
      <c r="F279" s="53">
        <v>78.959999084472656</v>
      </c>
    </row>
    <row r="280" spans="1:6" x14ac:dyDescent="0.25">
      <c r="A280" s="52">
        <v>45880</v>
      </c>
      <c r="B280" s="51" t="s">
        <v>427</v>
      </c>
      <c r="C280" s="51">
        <v>10008</v>
      </c>
      <c r="D280" s="51">
        <v>8</v>
      </c>
      <c r="E280" s="54">
        <v>91.169998168945313</v>
      </c>
      <c r="F280" s="54">
        <v>729.3599853515625</v>
      </c>
    </row>
    <row r="281" spans="1:6" x14ac:dyDescent="0.25">
      <c r="A281" s="50">
        <v>45881</v>
      </c>
      <c r="B281" s="49" t="s">
        <v>427</v>
      </c>
      <c r="C281" s="49">
        <v>10008</v>
      </c>
      <c r="D281" s="49">
        <v>4</v>
      </c>
      <c r="E281" s="53">
        <v>72.160003662109375</v>
      </c>
      <c r="F281" s="53">
        <v>288.6400146484375</v>
      </c>
    </row>
    <row r="282" spans="1:6" x14ac:dyDescent="0.25">
      <c r="A282" s="52">
        <v>45882</v>
      </c>
      <c r="B282" s="51" t="s">
        <v>427</v>
      </c>
      <c r="C282" s="51">
        <v>10008</v>
      </c>
      <c r="D282" s="51">
        <v>4</v>
      </c>
      <c r="E282" s="54">
        <v>21.030000686645508</v>
      </c>
      <c r="F282" s="54">
        <v>84.120002746582031</v>
      </c>
    </row>
    <row r="283" spans="1:6" x14ac:dyDescent="0.25">
      <c r="A283" s="50">
        <v>45883</v>
      </c>
      <c r="B283" s="49" t="s">
        <v>427</v>
      </c>
      <c r="C283" s="49">
        <v>10008</v>
      </c>
      <c r="D283" s="49">
        <v>8</v>
      </c>
      <c r="E283" s="53">
        <v>21.889999389648438</v>
      </c>
      <c r="F283" s="53">
        <v>175.1199951171875</v>
      </c>
    </row>
    <row r="284" spans="1:6" x14ac:dyDescent="0.25">
      <c r="A284" s="52">
        <v>45884</v>
      </c>
      <c r="B284" s="51" t="s">
        <v>427</v>
      </c>
      <c r="C284" s="51">
        <v>10008</v>
      </c>
      <c r="D284" s="51">
        <v>7</v>
      </c>
      <c r="E284" s="54">
        <v>43.450000762939453</v>
      </c>
      <c r="F284" s="54">
        <v>304.15000534057617</v>
      </c>
    </row>
    <row r="285" spans="1:6" x14ac:dyDescent="0.25">
      <c r="A285" s="50">
        <v>45885</v>
      </c>
      <c r="B285" s="49" t="s">
        <v>427</v>
      </c>
      <c r="C285" s="49">
        <v>10008</v>
      </c>
      <c r="D285" s="49">
        <v>2</v>
      </c>
      <c r="E285" s="53">
        <v>10.920000076293945</v>
      </c>
      <c r="F285" s="53">
        <v>21.840000152587891</v>
      </c>
    </row>
    <row r="286" spans="1:6" x14ac:dyDescent="0.25">
      <c r="A286" s="52">
        <v>45886</v>
      </c>
      <c r="B286" s="51" t="s">
        <v>427</v>
      </c>
      <c r="C286" s="51">
        <v>10008</v>
      </c>
      <c r="D286" s="51">
        <v>9</v>
      </c>
      <c r="E286" s="54">
        <v>98.910003662109375</v>
      </c>
      <c r="F286" s="54">
        <v>890.19003295898438</v>
      </c>
    </row>
    <row r="287" spans="1:6" x14ac:dyDescent="0.25">
      <c r="A287" s="50">
        <v>45887</v>
      </c>
      <c r="B287" s="49" t="s">
        <v>427</v>
      </c>
      <c r="C287" s="49">
        <v>10008</v>
      </c>
      <c r="D287" s="49">
        <v>3</v>
      </c>
      <c r="E287" s="53">
        <v>67.730003356933594</v>
      </c>
      <c r="F287" s="53">
        <v>203.19001007080078</v>
      </c>
    </row>
    <row r="288" spans="1:6" x14ac:dyDescent="0.25">
      <c r="A288" s="52">
        <v>45888</v>
      </c>
      <c r="B288" s="51" t="s">
        <v>427</v>
      </c>
      <c r="C288" s="51">
        <v>10008</v>
      </c>
      <c r="D288" s="51">
        <v>7</v>
      </c>
      <c r="E288" s="54">
        <v>50.889999389648438</v>
      </c>
      <c r="F288" s="54">
        <v>356.22999572753906</v>
      </c>
    </row>
    <row r="289" spans="1:6" x14ac:dyDescent="0.25">
      <c r="A289" s="50">
        <v>45859</v>
      </c>
      <c r="B289" s="49" t="s">
        <v>428</v>
      </c>
      <c r="C289" s="49">
        <v>10009</v>
      </c>
      <c r="D289" s="49">
        <v>4</v>
      </c>
      <c r="E289" s="53">
        <v>85.050003051757813</v>
      </c>
      <c r="F289" s="53">
        <v>340.20001220703125</v>
      </c>
    </row>
    <row r="290" spans="1:6" x14ac:dyDescent="0.25">
      <c r="A290" s="52">
        <v>45860</v>
      </c>
      <c r="B290" s="51" t="s">
        <v>428</v>
      </c>
      <c r="C290" s="51">
        <v>10009</v>
      </c>
      <c r="D290" s="51">
        <v>7</v>
      </c>
      <c r="E290" s="54">
        <v>50.799999237060547</v>
      </c>
      <c r="F290" s="54">
        <v>355.59999465942383</v>
      </c>
    </row>
    <row r="291" spans="1:6" x14ac:dyDescent="0.25">
      <c r="A291" s="50">
        <v>45861</v>
      </c>
      <c r="B291" s="49" t="s">
        <v>428</v>
      </c>
      <c r="C291" s="49">
        <v>10009</v>
      </c>
      <c r="D291" s="49">
        <v>8</v>
      </c>
      <c r="E291" s="53">
        <v>84.349998474121094</v>
      </c>
      <c r="F291" s="53">
        <v>674.79998779296875</v>
      </c>
    </row>
    <row r="292" spans="1:6" x14ac:dyDescent="0.25">
      <c r="A292" s="52">
        <v>45862</v>
      </c>
      <c r="B292" s="51" t="s">
        <v>428</v>
      </c>
      <c r="C292" s="51">
        <v>10009</v>
      </c>
      <c r="D292" s="51">
        <v>5</v>
      </c>
      <c r="E292" s="54">
        <v>92.80999755859375</v>
      </c>
      <c r="F292" s="54">
        <v>464.04998779296875</v>
      </c>
    </row>
    <row r="293" spans="1:6" x14ac:dyDescent="0.25">
      <c r="A293" s="50">
        <v>45863</v>
      </c>
      <c r="B293" s="49" t="s">
        <v>428</v>
      </c>
      <c r="C293" s="49">
        <v>10009</v>
      </c>
      <c r="D293" s="49">
        <v>3</v>
      </c>
      <c r="E293" s="53">
        <v>28.010000228881836</v>
      </c>
      <c r="F293" s="53">
        <v>84.030000686645508</v>
      </c>
    </row>
    <row r="294" spans="1:6" x14ac:dyDescent="0.25">
      <c r="A294" s="52">
        <v>45864</v>
      </c>
      <c r="B294" s="51" t="s">
        <v>428</v>
      </c>
      <c r="C294" s="51">
        <v>10009</v>
      </c>
      <c r="D294" s="51">
        <v>3</v>
      </c>
      <c r="E294" s="54">
        <v>97.459999084472656</v>
      </c>
      <c r="F294" s="54">
        <v>292.37999725341797</v>
      </c>
    </row>
    <row r="295" spans="1:6" x14ac:dyDescent="0.25">
      <c r="A295" s="50">
        <v>45865</v>
      </c>
      <c r="B295" s="49" t="s">
        <v>428</v>
      </c>
      <c r="C295" s="49">
        <v>10009</v>
      </c>
      <c r="D295" s="49">
        <v>6</v>
      </c>
      <c r="E295" s="53">
        <v>78.720001220703125</v>
      </c>
      <c r="F295" s="53">
        <v>472.32000732421875</v>
      </c>
    </row>
    <row r="296" spans="1:6" x14ac:dyDescent="0.25">
      <c r="A296" s="52">
        <v>45866</v>
      </c>
      <c r="B296" s="51" t="s">
        <v>428</v>
      </c>
      <c r="C296" s="51">
        <v>10009</v>
      </c>
      <c r="D296" s="51">
        <v>4</v>
      </c>
      <c r="E296" s="54">
        <v>81.80999755859375</v>
      </c>
      <c r="F296" s="54">
        <v>327.239990234375</v>
      </c>
    </row>
    <row r="297" spans="1:6" x14ac:dyDescent="0.25">
      <c r="A297" s="50">
        <v>45867</v>
      </c>
      <c r="B297" s="49" t="s">
        <v>428</v>
      </c>
      <c r="C297" s="49">
        <v>10009</v>
      </c>
      <c r="D297" s="49">
        <v>5</v>
      </c>
      <c r="E297" s="53">
        <v>44.240001678466797</v>
      </c>
      <c r="F297" s="53">
        <v>221.20000839233398</v>
      </c>
    </row>
    <row r="298" spans="1:6" x14ac:dyDescent="0.25">
      <c r="A298" s="52">
        <v>45868</v>
      </c>
      <c r="B298" s="51" t="s">
        <v>428</v>
      </c>
      <c r="C298" s="51">
        <v>10009</v>
      </c>
      <c r="D298" s="51">
        <v>8</v>
      </c>
      <c r="E298" s="54">
        <v>92.349998474121094</v>
      </c>
      <c r="F298" s="54">
        <v>738.79998779296875</v>
      </c>
    </row>
    <row r="299" spans="1:6" x14ac:dyDescent="0.25">
      <c r="A299" s="50">
        <v>45869</v>
      </c>
      <c r="B299" s="49" t="s">
        <v>428</v>
      </c>
      <c r="C299" s="49">
        <v>10009</v>
      </c>
      <c r="D299" s="49">
        <v>0</v>
      </c>
      <c r="E299" s="53">
        <v>94.660003662109375</v>
      </c>
      <c r="F299" s="53">
        <v>0</v>
      </c>
    </row>
    <row r="300" spans="1:6" x14ac:dyDescent="0.25">
      <c r="A300" s="52">
        <v>45870</v>
      </c>
      <c r="B300" s="51" t="s">
        <v>428</v>
      </c>
      <c r="C300" s="51">
        <v>10009</v>
      </c>
      <c r="D300" s="51">
        <v>5</v>
      </c>
      <c r="E300" s="54">
        <v>76.050003051757813</v>
      </c>
      <c r="F300" s="54">
        <v>380.25001525878906</v>
      </c>
    </row>
    <row r="301" spans="1:6" x14ac:dyDescent="0.25">
      <c r="A301" s="50">
        <v>45871</v>
      </c>
      <c r="B301" s="49" t="s">
        <v>428</v>
      </c>
      <c r="C301" s="49">
        <v>10009</v>
      </c>
      <c r="D301" s="49">
        <v>6</v>
      </c>
      <c r="E301" s="53">
        <v>18.010000228881836</v>
      </c>
      <c r="F301" s="53">
        <v>108.06000137329102</v>
      </c>
    </row>
    <row r="302" spans="1:6" x14ac:dyDescent="0.25">
      <c r="A302" s="52">
        <v>45872</v>
      </c>
      <c r="B302" s="51" t="s">
        <v>428</v>
      </c>
      <c r="C302" s="51">
        <v>10009</v>
      </c>
      <c r="D302" s="51">
        <v>5</v>
      </c>
      <c r="E302" s="54">
        <v>78.269996643066406</v>
      </c>
      <c r="F302" s="54">
        <v>391.34998321533203</v>
      </c>
    </row>
    <row r="303" spans="1:6" x14ac:dyDescent="0.25">
      <c r="A303" s="50">
        <v>45873</v>
      </c>
      <c r="B303" s="49" t="s">
        <v>428</v>
      </c>
      <c r="C303" s="49">
        <v>10009</v>
      </c>
      <c r="D303" s="49">
        <v>4</v>
      </c>
      <c r="E303" s="53">
        <v>98.5</v>
      </c>
      <c r="F303" s="53">
        <v>394</v>
      </c>
    </row>
    <row r="304" spans="1:6" x14ac:dyDescent="0.25">
      <c r="A304" s="52">
        <v>45874</v>
      </c>
      <c r="B304" s="51" t="s">
        <v>428</v>
      </c>
      <c r="C304" s="51">
        <v>10009</v>
      </c>
      <c r="D304" s="51">
        <v>2</v>
      </c>
      <c r="E304" s="54">
        <v>40.270000457763672</v>
      </c>
      <c r="F304" s="54">
        <v>80.540000915527344</v>
      </c>
    </row>
    <row r="305" spans="1:6" x14ac:dyDescent="0.25">
      <c r="A305" s="50">
        <v>45875</v>
      </c>
      <c r="B305" s="49" t="s">
        <v>428</v>
      </c>
      <c r="C305" s="49">
        <v>10009</v>
      </c>
      <c r="D305" s="49">
        <v>1</v>
      </c>
      <c r="E305" s="53">
        <v>76.019996643066406</v>
      </c>
      <c r="F305" s="53">
        <v>76.019996643066406</v>
      </c>
    </row>
    <row r="306" spans="1:6" x14ac:dyDescent="0.25">
      <c r="A306" s="52">
        <v>45876</v>
      </c>
      <c r="B306" s="51" t="s">
        <v>428</v>
      </c>
      <c r="C306" s="51">
        <v>10009</v>
      </c>
      <c r="D306" s="51">
        <v>4</v>
      </c>
      <c r="E306" s="54">
        <v>12.770000457763672</v>
      </c>
      <c r="F306" s="54">
        <v>51.080001831054688</v>
      </c>
    </row>
    <row r="307" spans="1:6" x14ac:dyDescent="0.25">
      <c r="A307" s="50">
        <v>45877</v>
      </c>
      <c r="B307" s="49" t="s">
        <v>428</v>
      </c>
      <c r="C307" s="49">
        <v>10009</v>
      </c>
      <c r="D307" s="49">
        <v>3</v>
      </c>
      <c r="E307" s="53">
        <v>78.580001831054688</v>
      </c>
      <c r="F307" s="53">
        <v>235.74000549316406</v>
      </c>
    </row>
    <row r="308" spans="1:6" x14ac:dyDescent="0.25">
      <c r="A308" s="52">
        <v>45878</v>
      </c>
      <c r="B308" s="51" t="s">
        <v>428</v>
      </c>
      <c r="C308" s="51">
        <v>10009</v>
      </c>
      <c r="D308" s="51">
        <v>1</v>
      </c>
      <c r="E308" s="54">
        <v>10.560000419616699</v>
      </c>
      <c r="F308" s="54">
        <v>10.560000419616699</v>
      </c>
    </row>
    <row r="309" spans="1:6" x14ac:dyDescent="0.25">
      <c r="A309" s="50">
        <v>45879</v>
      </c>
      <c r="B309" s="49" t="s">
        <v>428</v>
      </c>
      <c r="C309" s="49">
        <v>10009</v>
      </c>
      <c r="D309" s="49">
        <v>3</v>
      </c>
      <c r="E309" s="53">
        <v>33.729999542236328</v>
      </c>
      <c r="F309" s="53">
        <v>101.18999862670898</v>
      </c>
    </row>
    <row r="310" spans="1:6" x14ac:dyDescent="0.25">
      <c r="A310" s="52">
        <v>45880</v>
      </c>
      <c r="B310" s="51" t="s">
        <v>428</v>
      </c>
      <c r="C310" s="51">
        <v>10009</v>
      </c>
      <c r="D310" s="51">
        <v>7</v>
      </c>
      <c r="E310" s="54">
        <v>87.290000915527344</v>
      </c>
      <c r="F310" s="54">
        <v>611.03000640869141</v>
      </c>
    </row>
    <row r="311" spans="1:6" x14ac:dyDescent="0.25">
      <c r="A311" s="50">
        <v>45881</v>
      </c>
      <c r="B311" s="49" t="s">
        <v>428</v>
      </c>
      <c r="C311" s="49">
        <v>10009</v>
      </c>
      <c r="D311" s="49">
        <v>6</v>
      </c>
      <c r="E311" s="53">
        <v>73.400001525878906</v>
      </c>
      <c r="F311" s="53">
        <v>440.40000915527344</v>
      </c>
    </row>
    <row r="312" spans="1:6" x14ac:dyDescent="0.25">
      <c r="A312" s="52">
        <v>45882</v>
      </c>
      <c r="B312" s="51" t="s">
        <v>428</v>
      </c>
      <c r="C312" s="51">
        <v>10009</v>
      </c>
      <c r="D312" s="51">
        <v>3</v>
      </c>
      <c r="E312" s="54">
        <v>92.860000610351563</v>
      </c>
      <c r="F312" s="54">
        <v>278.58000183105469</v>
      </c>
    </row>
    <row r="313" spans="1:6" x14ac:dyDescent="0.25">
      <c r="A313" s="50">
        <v>45883</v>
      </c>
      <c r="B313" s="49" t="s">
        <v>428</v>
      </c>
      <c r="C313" s="49">
        <v>10009</v>
      </c>
      <c r="D313" s="49">
        <v>5</v>
      </c>
      <c r="E313" s="53">
        <v>5.3899998664855957</v>
      </c>
      <c r="F313" s="53">
        <v>26.949999332427979</v>
      </c>
    </row>
    <row r="314" spans="1:6" x14ac:dyDescent="0.25">
      <c r="A314" s="52">
        <v>45884</v>
      </c>
      <c r="B314" s="51" t="s">
        <v>428</v>
      </c>
      <c r="C314" s="51">
        <v>10009</v>
      </c>
      <c r="D314" s="51">
        <v>4</v>
      </c>
      <c r="E314" s="54">
        <v>25.020000457763672</v>
      </c>
      <c r="F314" s="54">
        <v>100.08000183105469</v>
      </c>
    </row>
    <row r="315" spans="1:6" x14ac:dyDescent="0.25">
      <c r="A315" s="50">
        <v>45885</v>
      </c>
      <c r="B315" s="49" t="s">
        <v>428</v>
      </c>
      <c r="C315" s="49">
        <v>10009</v>
      </c>
      <c r="D315" s="49">
        <v>5</v>
      </c>
      <c r="E315" s="53">
        <v>33.630001068115234</v>
      </c>
      <c r="F315" s="53">
        <v>168.15000534057617</v>
      </c>
    </row>
    <row r="316" spans="1:6" x14ac:dyDescent="0.25">
      <c r="A316" s="52">
        <v>45886</v>
      </c>
      <c r="B316" s="51" t="s">
        <v>428</v>
      </c>
      <c r="C316" s="51">
        <v>10009</v>
      </c>
      <c r="D316" s="51">
        <v>6</v>
      </c>
      <c r="E316" s="54">
        <v>10.229999542236328</v>
      </c>
      <c r="F316" s="54">
        <v>61.379997253417969</v>
      </c>
    </row>
    <row r="317" spans="1:6" x14ac:dyDescent="0.25">
      <c r="A317" s="50">
        <v>45887</v>
      </c>
      <c r="B317" s="49" t="s">
        <v>428</v>
      </c>
      <c r="C317" s="49">
        <v>10009</v>
      </c>
      <c r="D317" s="49">
        <v>3</v>
      </c>
      <c r="E317" s="53">
        <v>87.930000305175781</v>
      </c>
      <c r="F317" s="53">
        <v>263.79000091552734</v>
      </c>
    </row>
    <row r="318" spans="1:6" x14ac:dyDescent="0.25">
      <c r="A318" s="52">
        <v>45888</v>
      </c>
      <c r="B318" s="51" t="s">
        <v>428</v>
      </c>
      <c r="C318" s="51">
        <v>10009</v>
      </c>
      <c r="D318" s="51">
        <v>2</v>
      </c>
      <c r="E318" s="54">
        <v>17.600000381469727</v>
      </c>
      <c r="F318" s="54">
        <v>35.200000762939453</v>
      </c>
    </row>
    <row r="319" spans="1:6" x14ac:dyDescent="0.25">
      <c r="A319" s="50">
        <v>45859</v>
      </c>
      <c r="B319" s="49" t="s">
        <v>429</v>
      </c>
      <c r="C319" s="49">
        <v>10010</v>
      </c>
      <c r="D319" s="49">
        <v>8</v>
      </c>
      <c r="E319" s="53">
        <v>87.790000915527344</v>
      </c>
      <c r="F319" s="53">
        <v>702.32000732421875</v>
      </c>
    </row>
    <row r="320" spans="1:6" x14ac:dyDescent="0.25">
      <c r="A320" s="52">
        <v>45860</v>
      </c>
      <c r="B320" s="51" t="s">
        <v>429</v>
      </c>
      <c r="C320" s="51">
        <v>10010</v>
      </c>
      <c r="D320" s="51">
        <v>4</v>
      </c>
      <c r="E320" s="54">
        <v>98.870002746582031</v>
      </c>
      <c r="F320" s="54">
        <v>395.48001098632813</v>
      </c>
    </row>
    <row r="321" spans="1:6" x14ac:dyDescent="0.25">
      <c r="A321" s="50">
        <v>45861</v>
      </c>
      <c r="B321" s="49" t="s">
        <v>429</v>
      </c>
      <c r="C321" s="49">
        <v>10010</v>
      </c>
      <c r="D321" s="49">
        <v>3</v>
      </c>
      <c r="E321" s="53">
        <v>68.5</v>
      </c>
      <c r="F321" s="53">
        <v>205.5</v>
      </c>
    </row>
    <row r="322" spans="1:6" x14ac:dyDescent="0.25">
      <c r="A322" s="52">
        <v>45862</v>
      </c>
      <c r="B322" s="51" t="s">
        <v>429</v>
      </c>
      <c r="C322" s="51">
        <v>10010</v>
      </c>
      <c r="D322" s="51">
        <v>3</v>
      </c>
      <c r="E322" s="54">
        <v>70.44000244140625</v>
      </c>
      <c r="F322" s="54">
        <v>211.32000732421875</v>
      </c>
    </row>
    <row r="323" spans="1:6" x14ac:dyDescent="0.25">
      <c r="A323" s="50">
        <v>45863</v>
      </c>
      <c r="B323" s="49" t="s">
        <v>429</v>
      </c>
      <c r="C323" s="49">
        <v>10010</v>
      </c>
      <c r="D323" s="49">
        <v>9</v>
      </c>
      <c r="E323" s="53">
        <v>71.669998168945313</v>
      </c>
      <c r="F323" s="53">
        <v>645.02998352050781</v>
      </c>
    </row>
    <row r="324" spans="1:6" x14ac:dyDescent="0.25">
      <c r="A324" s="52">
        <v>45864</v>
      </c>
      <c r="B324" s="51" t="s">
        <v>429</v>
      </c>
      <c r="C324" s="51">
        <v>10010</v>
      </c>
      <c r="D324" s="51">
        <v>5</v>
      </c>
      <c r="E324" s="54">
        <v>47.900001525878906</v>
      </c>
      <c r="F324" s="54">
        <v>239.50000762939453</v>
      </c>
    </row>
    <row r="325" spans="1:6" x14ac:dyDescent="0.25">
      <c r="A325" s="50">
        <v>45865</v>
      </c>
      <c r="B325" s="49" t="s">
        <v>429</v>
      </c>
      <c r="C325" s="49">
        <v>10010</v>
      </c>
      <c r="D325" s="49">
        <v>4</v>
      </c>
      <c r="E325" s="53">
        <v>10.800000190734863</v>
      </c>
      <c r="F325" s="53">
        <v>43.200000762939453</v>
      </c>
    </row>
    <row r="326" spans="1:6" x14ac:dyDescent="0.25">
      <c r="A326" s="52">
        <v>45866</v>
      </c>
      <c r="B326" s="51" t="s">
        <v>429</v>
      </c>
      <c r="C326" s="51">
        <v>10010</v>
      </c>
      <c r="D326" s="51">
        <v>6</v>
      </c>
      <c r="E326" s="54">
        <v>36.900001525878906</v>
      </c>
      <c r="F326" s="54">
        <v>221.40000915527344</v>
      </c>
    </row>
    <row r="327" spans="1:6" x14ac:dyDescent="0.25">
      <c r="A327" s="50">
        <v>45867</v>
      </c>
      <c r="B327" s="49" t="s">
        <v>429</v>
      </c>
      <c r="C327" s="49">
        <v>10010</v>
      </c>
      <c r="D327" s="49">
        <v>8</v>
      </c>
      <c r="E327" s="53">
        <v>31.590000152587891</v>
      </c>
      <c r="F327" s="53">
        <v>252.72000122070313</v>
      </c>
    </row>
    <row r="328" spans="1:6" x14ac:dyDescent="0.25">
      <c r="A328" s="52">
        <v>45868</v>
      </c>
      <c r="B328" s="51" t="s">
        <v>429</v>
      </c>
      <c r="C328" s="51">
        <v>10010</v>
      </c>
      <c r="D328" s="51">
        <v>6</v>
      </c>
      <c r="E328" s="54">
        <v>37.860000610351563</v>
      </c>
      <c r="F328" s="54">
        <v>227.16000366210938</v>
      </c>
    </row>
    <row r="329" spans="1:6" x14ac:dyDescent="0.25">
      <c r="A329" s="50">
        <v>45869</v>
      </c>
      <c r="B329" s="49" t="s">
        <v>429</v>
      </c>
      <c r="C329" s="49">
        <v>10010</v>
      </c>
      <c r="D329" s="49">
        <v>1</v>
      </c>
      <c r="E329" s="53">
        <v>10.180000305175781</v>
      </c>
      <c r="F329" s="53">
        <v>10.180000305175781</v>
      </c>
    </row>
    <row r="330" spans="1:6" x14ac:dyDescent="0.25">
      <c r="A330" s="52">
        <v>45870</v>
      </c>
      <c r="B330" s="51" t="s">
        <v>429</v>
      </c>
      <c r="C330" s="51">
        <v>10010</v>
      </c>
      <c r="D330" s="51">
        <v>2</v>
      </c>
      <c r="E330" s="54">
        <v>56.189998626708984</v>
      </c>
      <c r="F330" s="54">
        <v>112.37999725341797</v>
      </c>
    </row>
    <row r="331" spans="1:6" x14ac:dyDescent="0.25">
      <c r="A331" s="50">
        <v>45871</v>
      </c>
      <c r="B331" s="49" t="s">
        <v>429</v>
      </c>
      <c r="C331" s="49">
        <v>10010</v>
      </c>
      <c r="D331" s="49">
        <v>5</v>
      </c>
      <c r="E331" s="53">
        <v>86.330001831054688</v>
      </c>
      <c r="F331" s="53">
        <v>431.65000915527344</v>
      </c>
    </row>
    <row r="332" spans="1:6" x14ac:dyDescent="0.25">
      <c r="A332" s="52">
        <v>45872</v>
      </c>
      <c r="B332" s="51" t="s">
        <v>429</v>
      </c>
      <c r="C332" s="51">
        <v>10010</v>
      </c>
      <c r="D332" s="51">
        <v>5</v>
      </c>
      <c r="E332" s="54">
        <v>97.949996948242188</v>
      </c>
      <c r="F332" s="54">
        <v>489.74998474121094</v>
      </c>
    </row>
    <row r="333" spans="1:6" x14ac:dyDescent="0.25">
      <c r="A333" s="50">
        <v>45873</v>
      </c>
      <c r="B333" s="49" t="s">
        <v>429</v>
      </c>
      <c r="C333" s="49">
        <v>10010</v>
      </c>
      <c r="D333" s="49">
        <v>7</v>
      </c>
      <c r="E333" s="53">
        <v>67.430000305175781</v>
      </c>
      <c r="F333" s="53">
        <v>472.01000213623047</v>
      </c>
    </row>
    <row r="334" spans="1:6" x14ac:dyDescent="0.25">
      <c r="A334" s="52">
        <v>45874</v>
      </c>
      <c r="B334" s="51" t="s">
        <v>429</v>
      </c>
      <c r="C334" s="51">
        <v>10010</v>
      </c>
      <c r="D334" s="51">
        <v>7</v>
      </c>
      <c r="E334" s="54">
        <v>64.980003356933594</v>
      </c>
      <c r="F334" s="54">
        <v>454.86002349853516</v>
      </c>
    </row>
    <row r="335" spans="1:6" x14ac:dyDescent="0.25">
      <c r="A335" s="50">
        <v>45875</v>
      </c>
      <c r="B335" s="49" t="s">
        <v>429</v>
      </c>
      <c r="C335" s="49">
        <v>10010</v>
      </c>
      <c r="D335" s="49">
        <v>1</v>
      </c>
      <c r="E335" s="53">
        <v>27.790000915527344</v>
      </c>
      <c r="F335" s="53">
        <v>27.790000915527344</v>
      </c>
    </row>
    <row r="336" spans="1:6" x14ac:dyDescent="0.25">
      <c r="A336" s="52">
        <v>45876</v>
      </c>
      <c r="B336" s="51" t="s">
        <v>429</v>
      </c>
      <c r="C336" s="51">
        <v>10010</v>
      </c>
      <c r="D336" s="51">
        <v>5</v>
      </c>
      <c r="E336" s="54">
        <v>57.090000152587891</v>
      </c>
      <c r="F336" s="54">
        <v>285.45000076293945</v>
      </c>
    </row>
    <row r="337" spans="1:6" x14ac:dyDescent="0.25">
      <c r="A337" s="50">
        <v>45877</v>
      </c>
      <c r="B337" s="49" t="s">
        <v>429</v>
      </c>
      <c r="C337" s="49">
        <v>10010</v>
      </c>
      <c r="D337" s="49">
        <v>3</v>
      </c>
      <c r="E337" s="53">
        <v>81.419998168945313</v>
      </c>
      <c r="F337" s="53">
        <v>244.25999450683594</v>
      </c>
    </row>
    <row r="338" spans="1:6" x14ac:dyDescent="0.25">
      <c r="A338" s="52">
        <v>45878</v>
      </c>
      <c r="B338" s="51" t="s">
        <v>429</v>
      </c>
      <c r="C338" s="51">
        <v>10010</v>
      </c>
      <c r="D338" s="51">
        <v>6</v>
      </c>
      <c r="E338" s="54">
        <v>92.80999755859375</v>
      </c>
      <c r="F338" s="54">
        <v>556.8599853515625</v>
      </c>
    </row>
    <row r="339" spans="1:6" x14ac:dyDescent="0.25">
      <c r="A339" s="50">
        <v>45879</v>
      </c>
      <c r="B339" s="49" t="s">
        <v>429</v>
      </c>
      <c r="C339" s="49">
        <v>10010</v>
      </c>
      <c r="D339" s="49">
        <v>3</v>
      </c>
      <c r="E339" s="53">
        <v>85.529998779296875</v>
      </c>
      <c r="F339" s="53">
        <v>256.58999633789063</v>
      </c>
    </row>
    <row r="340" spans="1:6" x14ac:dyDescent="0.25">
      <c r="A340" s="52">
        <v>45880</v>
      </c>
      <c r="B340" s="51" t="s">
        <v>429</v>
      </c>
      <c r="C340" s="51">
        <v>10010</v>
      </c>
      <c r="D340" s="51">
        <v>8</v>
      </c>
      <c r="E340" s="54">
        <v>88.69000244140625</v>
      </c>
      <c r="F340" s="54">
        <v>709.52001953125</v>
      </c>
    </row>
    <row r="341" spans="1:6" x14ac:dyDescent="0.25">
      <c r="A341" s="50">
        <v>45881</v>
      </c>
      <c r="B341" s="49" t="s">
        <v>429</v>
      </c>
      <c r="C341" s="49">
        <v>10010</v>
      </c>
      <c r="D341" s="49">
        <v>5</v>
      </c>
      <c r="E341" s="53">
        <v>55.349998474121094</v>
      </c>
      <c r="F341" s="53">
        <v>276.74999237060547</v>
      </c>
    </row>
    <row r="342" spans="1:6" x14ac:dyDescent="0.25">
      <c r="A342" s="52">
        <v>45882</v>
      </c>
      <c r="B342" s="51" t="s">
        <v>429</v>
      </c>
      <c r="C342" s="51">
        <v>10010</v>
      </c>
      <c r="D342" s="51">
        <v>4</v>
      </c>
      <c r="E342" s="54">
        <v>11.239999771118164</v>
      </c>
      <c r="F342" s="54">
        <v>44.959999084472656</v>
      </c>
    </row>
    <row r="343" spans="1:6" x14ac:dyDescent="0.25">
      <c r="A343" s="50">
        <v>45883</v>
      </c>
      <c r="B343" s="49" t="s">
        <v>429</v>
      </c>
      <c r="C343" s="49">
        <v>10010</v>
      </c>
      <c r="D343" s="49">
        <v>6</v>
      </c>
      <c r="E343" s="53">
        <v>99.900001525878906</v>
      </c>
      <c r="F343" s="53">
        <v>599.40000915527344</v>
      </c>
    </row>
    <row r="344" spans="1:6" x14ac:dyDescent="0.25">
      <c r="A344" s="52">
        <v>45884</v>
      </c>
      <c r="B344" s="51" t="s">
        <v>429</v>
      </c>
      <c r="C344" s="51">
        <v>10010</v>
      </c>
      <c r="D344" s="51">
        <v>8</v>
      </c>
      <c r="E344" s="54">
        <v>44.090000152587891</v>
      </c>
      <c r="F344" s="54">
        <v>352.72000122070313</v>
      </c>
    </row>
    <row r="345" spans="1:6" x14ac:dyDescent="0.25">
      <c r="A345" s="50">
        <v>45885</v>
      </c>
      <c r="B345" s="49" t="s">
        <v>429</v>
      </c>
      <c r="C345" s="49">
        <v>10010</v>
      </c>
      <c r="D345" s="49">
        <v>7</v>
      </c>
      <c r="E345" s="53">
        <v>41.900001525878906</v>
      </c>
      <c r="F345" s="53">
        <v>293.30001068115234</v>
      </c>
    </row>
    <row r="346" spans="1:6" x14ac:dyDescent="0.25">
      <c r="A346" s="52">
        <v>45886</v>
      </c>
      <c r="B346" s="51" t="s">
        <v>429</v>
      </c>
      <c r="C346" s="51">
        <v>10010</v>
      </c>
      <c r="D346" s="51">
        <v>5</v>
      </c>
      <c r="E346" s="54">
        <v>66.709999084472656</v>
      </c>
      <c r="F346" s="54">
        <v>333.54999542236328</v>
      </c>
    </row>
    <row r="347" spans="1:6" x14ac:dyDescent="0.25">
      <c r="A347" s="50">
        <v>45887</v>
      </c>
      <c r="B347" s="49" t="s">
        <v>429</v>
      </c>
      <c r="C347" s="49">
        <v>10010</v>
      </c>
      <c r="D347" s="49">
        <v>4</v>
      </c>
      <c r="E347" s="53">
        <v>49.009998321533203</v>
      </c>
      <c r="F347" s="53">
        <v>196.03999328613281</v>
      </c>
    </row>
    <row r="348" spans="1:6" x14ac:dyDescent="0.25">
      <c r="A348" s="52">
        <v>45888</v>
      </c>
      <c r="B348" s="51" t="s">
        <v>429</v>
      </c>
      <c r="C348" s="51">
        <v>10010</v>
      </c>
      <c r="D348" s="51">
        <v>3</v>
      </c>
      <c r="E348" s="54">
        <v>44.939998626708984</v>
      </c>
      <c r="F348" s="54">
        <v>134.81999588012695</v>
      </c>
    </row>
    <row r="349" spans="1:6" x14ac:dyDescent="0.25">
      <c r="A349" s="50">
        <v>45859</v>
      </c>
      <c r="B349" s="49" t="s">
        <v>430</v>
      </c>
      <c r="C349" s="49">
        <v>10011</v>
      </c>
      <c r="D349" s="49">
        <v>7</v>
      </c>
      <c r="E349" s="53">
        <v>17</v>
      </c>
      <c r="F349" s="53">
        <v>119</v>
      </c>
    </row>
    <row r="350" spans="1:6" x14ac:dyDescent="0.25">
      <c r="A350" s="52">
        <v>45860</v>
      </c>
      <c r="B350" s="51" t="s">
        <v>430</v>
      </c>
      <c r="C350" s="51">
        <v>10011</v>
      </c>
      <c r="D350" s="51">
        <v>2</v>
      </c>
      <c r="E350" s="54">
        <v>12.210000038146973</v>
      </c>
      <c r="F350" s="54">
        <v>24.420000076293945</v>
      </c>
    </row>
    <row r="351" spans="1:6" x14ac:dyDescent="0.25">
      <c r="A351" s="50">
        <v>45861</v>
      </c>
      <c r="B351" s="49" t="s">
        <v>430</v>
      </c>
      <c r="C351" s="49">
        <v>10011</v>
      </c>
      <c r="D351" s="49">
        <v>6</v>
      </c>
      <c r="E351" s="53">
        <v>29.469999313354492</v>
      </c>
      <c r="F351" s="53">
        <v>176.81999588012695</v>
      </c>
    </row>
    <row r="352" spans="1:6" x14ac:dyDescent="0.25">
      <c r="A352" s="52">
        <v>45862</v>
      </c>
      <c r="B352" s="51" t="s">
        <v>430</v>
      </c>
      <c r="C352" s="51">
        <v>10011</v>
      </c>
      <c r="D352" s="51">
        <v>6</v>
      </c>
      <c r="E352" s="54">
        <v>54.099998474121094</v>
      </c>
      <c r="F352" s="54">
        <v>324.59999084472656</v>
      </c>
    </row>
    <row r="353" spans="1:6" x14ac:dyDescent="0.25">
      <c r="A353" s="50">
        <v>45863</v>
      </c>
      <c r="B353" s="49" t="s">
        <v>430</v>
      </c>
      <c r="C353" s="49">
        <v>10011</v>
      </c>
      <c r="D353" s="49">
        <v>9</v>
      </c>
      <c r="E353" s="53">
        <v>62.450000762939453</v>
      </c>
      <c r="F353" s="53">
        <v>562.05000686645508</v>
      </c>
    </row>
    <row r="354" spans="1:6" x14ac:dyDescent="0.25">
      <c r="A354" s="52">
        <v>45864</v>
      </c>
      <c r="B354" s="51" t="s">
        <v>430</v>
      </c>
      <c r="C354" s="51">
        <v>10011</v>
      </c>
      <c r="D354" s="51">
        <v>8</v>
      </c>
      <c r="E354" s="54">
        <v>67.650001525878906</v>
      </c>
      <c r="F354" s="54">
        <v>541.20001220703125</v>
      </c>
    </row>
    <row r="355" spans="1:6" x14ac:dyDescent="0.25">
      <c r="A355" s="50">
        <v>45865</v>
      </c>
      <c r="B355" s="49" t="s">
        <v>430</v>
      </c>
      <c r="C355" s="49">
        <v>10011</v>
      </c>
      <c r="D355" s="49">
        <v>5</v>
      </c>
      <c r="E355" s="53">
        <v>70.800003051757813</v>
      </c>
      <c r="F355" s="53">
        <v>354.00001525878906</v>
      </c>
    </row>
    <row r="356" spans="1:6" x14ac:dyDescent="0.25">
      <c r="A356" s="52">
        <v>45866</v>
      </c>
      <c r="B356" s="51" t="s">
        <v>430</v>
      </c>
      <c r="C356" s="51">
        <v>10011</v>
      </c>
      <c r="D356" s="51">
        <v>5</v>
      </c>
      <c r="E356" s="54">
        <v>40.5</v>
      </c>
      <c r="F356" s="54">
        <v>202.5</v>
      </c>
    </row>
    <row r="357" spans="1:6" x14ac:dyDescent="0.25">
      <c r="A357" s="50">
        <v>45867</v>
      </c>
      <c r="B357" s="49" t="s">
        <v>430</v>
      </c>
      <c r="C357" s="49">
        <v>10011</v>
      </c>
      <c r="D357" s="49">
        <v>8</v>
      </c>
      <c r="E357" s="53">
        <v>97.239997863769531</v>
      </c>
      <c r="F357" s="53">
        <v>777.91998291015625</v>
      </c>
    </row>
    <row r="358" spans="1:6" x14ac:dyDescent="0.25">
      <c r="A358" s="52">
        <v>45868</v>
      </c>
      <c r="B358" s="51" t="s">
        <v>430</v>
      </c>
      <c r="C358" s="51">
        <v>10011</v>
      </c>
      <c r="D358" s="51">
        <v>7</v>
      </c>
      <c r="E358" s="54">
        <v>99</v>
      </c>
      <c r="F358" s="54">
        <v>693</v>
      </c>
    </row>
    <row r="359" spans="1:6" x14ac:dyDescent="0.25">
      <c r="A359" s="50">
        <v>45869</v>
      </c>
      <c r="B359" s="49" t="s">
        <v>430</v>
      </c>
      <c r="C359" s="49">
        <v>10011</v>
      </c>
      <c r="D359" s="49">
        <v>6</v>
      </c>
      <c r="E359" s="53">
        <v>68.629997253417969</v>
      </c>
      <c r="F359" s="53">
        <v>411.77998352050781</v>
      </c>
    </row>
    <row r="360" spans="1:6" x14ac:dyDescent="0.25">
      <c r="A360" s="52">
        <v>45870</v>
      </c>
      <c r="B360" s="51" t="s">
        <v>430</v>
      </c>
      <c r="C360" s="51">
        <v>10011</v>
      </c>
      <c r="D360" s="51">
        <v>5</v>
      </c>
      <c r="E360" s="54">
        <v>72.599998474121094</v>
      </c>
      <c r="F360" s="54">
        <v>362.99999237060547</v>
      </c>
    </row>
    <row r="361" spans="1:6" x14ac:dyDescent="0.25">
      <c r="A361" s="50">
        <v>45871</v>
      </c>
      <c r="B361" s="49" t="s">
        <v>430</v>
      </c>
      <c r="C361" s="49">
        <v>10011</v>
      </c>
      <c r="D361" s="49">
        <v>7</v>
      </c>
      <c r="E361" s="53">
        <v>12.600000381469727</v>
      </c>
      <c r="F361" s="53">
        <v>88.200002670288086</v>
      </c>
    </row>
    <row r="362" spans="1:6" x14ac:dyDescent="0.25">
      <c r="A362" s="52">
        <v>45872</v>
      </c>
      <c r="B362" s="51" t="s">
        <v>430</v>
      </c>
      <c r="C362" s="51">
        <v>10011</v>
      </c>
      <c r="D362" s="51">
        <v>5</v>
      </c>
      <c r="E362" s="54">
        <v>56.229999542236328</v>
      </c>
      <c r="F362" s="54">
        <v>281.14999771118164</v>
      </c>
    </row>
    <row r="363" spans="1:6" x14ac:dyDescent="0.25">
      <c r="A363" s="50">
        <v>45873</v>
      </c>
      <c r="B363" s="49" t="s">
        <v>430</v>
      </c>
      <c r="C363" s="49">
        <v>10011</v>
      </c>
      <c r="D363" s="49">
        <v>6</v>
      </c>
      <c r="E363" s="53">
        <v>26.709999084472656</v>
      </c>
      <c r="F363" s="53">
        <v>160.25999450683594</v>
      </c>
    </row>
    <row r="364" spans="1:6" x14ac:dyDescent="0.25">
      <c r="A364" s="52">
        <v>45874</v>
      </c>
      <c r="B364" s="51" t="s">
        <v>430</v>
      </c>
      <c r="C364" s="51">
        <v>10011</v>
      </c>
      <c r="D364" s="51">
        <v>10</v>
      </c>
      <c r="E364" s="54">
        <v>55.669998168945313</v>
      </c>
      <c r="F364" s="54">
        <v>556.69998168945313</v>
      </c>
    </row>
    <row r="365" spans="1:6" x14ac:dyDescent="0.25">
      <c r="A365" s="50">
        <v>45875</v>
      </c>
      <c r="B365" s="49" t="s">
        <v>430</v>
      </c>
      <c r="C365" s="49">
        <v>10011</v>
      </c>
      <c r="D365" s="49">
        <v>4</v>
      </c>
      <c r="E365" s="53">
        <v>20.870000839233398</v>
      </c>
      <c r="F365" s="53">
        <v>83.480003356933594</v>
      </c>
    </row>
    <row r="366" spans="1:6" x14ac:dyDescent="0.25">
      <c r="A366" s="52">
        <v>45876</v>
      </c>
      <c r="B366" s="51" t="s">
        <v>430</v>
      </c>
      <c r="C366" s="51">
        <v>10011</v>
      </c>
      <c r="D366" s="51">
        <v>2</v>
      </c>
      <c r="E366" s="54">
        <v>54.860000610351563</v>
      </c>
      <c r="F366" s="54">
        <v>109.72000122070313</v>
      </c>
    </row>
    <row r="367" spans="1:6" x14ac:dyDescent="0.25">
      <c r="A367" s="50">
        <v>45877</v>
      </c>
      <c r="B367" s="49" t="s">
        <v>430</v>
      </c>
      <c r="C367" s="49">
        <v>10011</v>
      </c>
      <c r="D367" s="49">
        <v>4</v>
      </c>
      <c r="E367" s="53">
        <v>37.540000915527344</v>
      </c>
      <c r="F367" s="53">
        <v>150.16000366210938</v>
      </c>
    </row>
    <row r="368" spans="1:6" x14ac:dyDescent="0.25">
      <c r="A368" s="52">
        <v>45878</v>
      </c>
      <c r="B368" s="51" t="s">
        <v>430</v>
      </c>
      <c r="C368" s="51">
        <v>10011</v>
      </c>
      <c r="D368" s="51">
        <v>7</v>
      </c>
      <c r="E368" s="54">
        <v>62.810001373291016</v>
      </c>
      <c r="F368" s="54">
        <v>439.67000961303711</v>
      </c>
    </row>
    <row r="369" spans="1:6" x14ac:dyDescent="0.25">
      <c r="A369" s="50">
        <v>45879</v>
      </c>
      <c r="B369" s="49" t="s">
        <v>430</v>
      </c>
      <c r="C369" s="49">
        <v>10011</v>
      </c>
      <c r="D369" s="49">
        <v>7</v>
      </c>
      <c r="E369" s="53">
        <v>78.029998779296875</v>
      </c>
      <c r="F369" s="53">
        <v>546.20999145507813</v>
      </c>
    </row>
    <row r="370" spans="1:6" x14ac:dyDescent="0.25">
      <c r="A370" s="52">
        <v>45880</v>
      </c>
      <c r="B370" s="51" t="s">
        <v>430</v>
      </c>
      <c r="C370" s="51">
        <v>10011</v>
      </c>
      <c r="D370" s="51">
        <v>3</v>
      </c>
      <c r="E370" s="54">
        <v>6.440000057220459</v>
      </c>
      <c r="F370" s="54">
        <v>19.320000171661377</v>
      </c>
    </row>
    <row r="371" spans="1:6" x14ac:dyDescent="0.25">
      <c r="A371" s="50">
        <v>45881</v>
      </c>
      <c r="B371" s="49" t="s">
        <v>430</v>
      </c>
      <c r="C371" s="49">
        <v>10011</v>
      </c>
      <c r="D371" s="49">
        <v>9</v>
      </c>
      <c r="E371" s="53">
        <v>96.870002746582031</v>
      </c>
      <c r="F371" s="53">
        <v>871.83002471923828</v>
      </c>
    </row>
    <row r="372" spans="1:6" x14ac:dyDescent="0.25">
      <c r="A372" s="52">
        <v>45882</v>
      </c>
      <c r="B372" s="51" t="s">
        <v>430</v>
      </c>
      <c r="C372" s="51">
        <v>10011</v>
      </c>
      <c r="D372" s="51">
        <v>2</v>
      </c>
      <c r="E372" s="54">
        <v>24.709999084472656</v>
      </c>
      <c r="F372" s="54">
        <v>49.419998168945313</v>
      </c>
    </row>
    <row r="373" spans="1:6" x14ac:dyDescent="0.25">
      <c r="A373" s="50">
        <v>45883</v>
      </c>
      <c r="B373" s="49" t="s">
        <v>430</v>
      </c>
      <c r="C373" s="49">
        <v>10011</v>
      </c>
      <c r="D373" s="49">
        <v>7</v>
      </c>
      <c r="E373" s="53">
        <v>90.080001831054688</v>
      </c>
      <c r="F373" s="53">
        <v>630.56001281738281</v>
      </c>
    </row>
    <row r="374" spans="1:6" x14ac:dyDescent="0.25">
      <c r="A374" s="52">
        <v>45884</v>
      </c>
      <c r="B374" s="51" t="s">
        <v>430</v>
      </c>
      <c r="C374" s="51">
        <v>10011</v>
      </c>
      <c r="D374" s="51">
        <v>9</v>
      </c>
      <c r="E374" s="54">
        <v>32.630001068115234</v>
      </c>
      <c r="F374" s="54">
        <v>293.67000961303711</v>
      </c>
    </row>
    <row r="375" spans="1:6" x14ac:dyDescent="0.25">
      <c r="A375" s="50">
        <v>45885</v>
      </c>
      <c r="B375" s="49" t="s">
        <v>430</v>
      </c>
      <c r="C375" s="49">
        <v>10011</v>
      </c>
      <c r="D375" s="49">
        <v>0</v>
      </c>
      <c r="E375" s="53">
        <v>36.889999389648438</v>
      </c>
      <c r="F375" s="53">
        <v>0</v>
      </c>
    </row>
    <row r="376" spans="1:6" x14ac:dyDescent="0.25">
      <c r="A376" s="52">
        <v>45886</v>
      </c>
      <c r="B376" s="51" t="s">
        <v>430</v>
      </c>
      <c r="C376" s="51">
        <v>10011</v>
      </c>
      <c r="D376" s="51">
        <v>4</v>
      </c>
      <c r="E376" s="54">
        <v>13.170000076293945</v>
      </c>
      <c r="F376" s="54">
        <v>52.680000305175781</v>
      </c>
    </row>
    <row r="377" spans="1:6" x14ac:dyDescent="0.25">
      <c r="A377" s="50">
        <v>45887</v>
      </c>
      <c r="B377" s="49" t="s">
        <v>430</v>
      </c>
      <c r="C377" s="49">
        <v>10011</v>
      </c>
      <c r="D377" s="49">
        <v>4</v>
      </c>
      <c r="E377" s="53">
        <v>48.090000152587891</v>
      </c>
      <c r="F377" s="53">
        <v>192.36000061035156</v>
      </c>
    </row>
    <row r="378" spans="1:6" x14ac:dyDescent="0.25">
      <c r="A378" s="52">
        <v>45888</v>
      </c>
      <c r="B378" s="51" t="s">
        <v>430</v>
      </c>
      <c r="C378" s="51">
        <v>10011</v>
      </c>
      <c r="D378" s="51">
        <v>3</v>
      </c>
      <c r="E378" s="54">
        <v>48.119998931884766</v>
      </c>
      <c r="F378" s="54">
        <v>144.3599967956543</v>
      </c>
    </row>
    <row r="379" spans="1:6" x14ac:dyDescent="0.25">
      <c r="A379" s="50">
        <v>45859</v>
      </c>
      <c r="B379" s="49" t="s">
        <v>431</v>
      </c>
      <c r="C379" s="49">
        <v>10012</v>
      </c>
      <c r="D379" s="49">
        <v>6</v>
      </c>
      <c r="E379" s="53">
        <v>53.189998626708984</v>
      </c>
      <c r="F379" s="53">
        <v>319.13999176025391</v>
      </c>
    </row>
    <row r="380" spans="1:6" x14ac:dyDescent="0.25">
      <c r="A380" s="52">
        <v>45860</v>
      </c>
      <c r="B380" s="51" t="s">
        <v>431</v>
      </c>
      <c r="C380" s="51">
        <v>10012</v>
      </c>
      <c r="D380" s="51">
        <v>5</v>
      </c>
      <c r="E380" s="54">
        <v>73.370002746582031</v>
      </c>
      <c r="F380" s="54">
        <v>366.85001373291016</v>
      </c>
    </row>
    <row r="381" spans="1:6" x14ac:dyDescent="0.25">
      <c r="A381" s="50">
        <v>45861</v>
      </c>
      <c r="B381" s="49" t="s">
        <v>431</v>
      </c>
      <c r="C381" s="49">
        <v>10012</v>
      </c>
      <c r="D381" s="49">
        <v>3</v>
      </c>
      <c r="E381" s="53">
        <v>92.019996643066406</v>
      </c>
      <c r="F381" s="53">
        <v>276.05998992919922</v>
      </c>
    </row>
    <row r="382" spans="1:6" x14ac:dyDescent="0.25">
      <c r="A382" s="52">
        <v>45862</v>
      </c>
      <c r="B382" s="51" t="s">
        <v>431</v>
      </c>
      <c r="C382" s="51">
        <v>10012</v>
      </c>
      <c r="D382" s="51">
        <v>7</v>
      </c>
      <c r="E382" s="54">
        <v>32.259998321533203</v>
      </c>
      <c r="F382" s="54">
        <v>225.81998825073242</v>
      </c>
    </row>
    <row r="383" spans="1:6" x14ac:dyDescent="0.25">
      <c r="A383" s="50">
        <v>45863</v>
      </c>
      <c r="B383" s="49" t="s">
        <v>431</v>
      </c>
      <c r="C383" s="49">
        <v>10012</v>
      </c>
      <c r="D383" s="49">
        <v>5</v>
      </c>
      <c r="E383" s="53">
        <v>20.440000534057617</v>
      </c>
      <c r="F383" s="53">
        <v>102.20000267028809</v>
      </c>
    </row>
    <row r="384" spans="1:6" x14ac:dyDescent="0.25">
      <c r="A384" s="52">
        <v>45864</v>
      </c>
      <c r="B384" s="51" t="s">
        <v>431</v>
      </c>
      <c r="C384" s="51">
        <v>10012</v>
      </c>
      <c r="D384" s="51">
        <v>6</v>
      </c>
      <c r="E384" s="54">
        <v>79.870002746582031</v>
      </c>
      <c r="F384" s="54">
        <v>479.22001647949219</v>
      </c>
    </row>
    <row r="385" spans="1:6" x14ac:dyDescent="0.25">
      <c r="A385" s="50">
        <v>45865</v>
      </c>
      <c r="B385" s="49" t="s">
        <v>431</v>
      </c>
      <c r="C385" s="49">
        <v>10012</v>
      </c>
      <c r="D385" s="49">
        <v>3</v>
      </c>
      <c r="E385" s="53">
        <v>28.319999694824219</v>
      </c>
      <c r="F385" s="53">
        <v>84.959999084472656</v>
      </c>
    </row>
    <row r="386" spans="1:6" x14ac:dyDescent="0.25">
      <c r="A386" s="52">
        <v>45866</v>
      </c>
      <c r="B386" s="51" t="s">
        <v>431</v>
      </c>
      <c r="C386" s="51">
        <v>10012</v>
      </c>
      <c r="D386" s="51">
        <v>3</v>
      </c>
      <c r="E386" s="54">
        <v>39.459999084472656</v>
      </c>
      <c r="F386" s="54">
        <v>118.37999725341797</v>
      </c>
    </row>
    <row r="387" spans="1:6" x14ac:dyDescent="0.25">
      <c r="A387" s="50">
        <v>45867</v>
      </c>
      <c r="B387" s="49" t="s">
        <v>431</v>
      </c>
      <c r="C387" s="49">
        <v>10012</v>
      </c>
      <c r="D387" s="49">
        <v>4</v>
      </c>
      <c r="E387" s="53">
        <v>66.889999389648438</v>
      </c>
      <c r="F387" s="53">
        <v>267.55999755859375</v>
      </c>
    </row>
    <row r="388" spans="1:6" x14ac:dyDescent="0.25">
      <c r="A388" s="52">
        <v>45868</v>
      </c>
      <c r="B388" s="51" t="s">
        <v>431</v>
      </c>
      <c r="C388" s="51">
        <v>10012</v>
      </c>
      <c r="D388" s="51">
        <v>7</v>
      </c>
      <c r="E388" s="54">
        <v>91.389999389648438</v>
      </c>
      <c r="F388" s="54">
        <v>639.72999572753906</v>
      </c>
    </row>
    <row r="389" spans="1:6" x14ac:dyDescent="0.25">
      <c r="A389" s="50">
        <v>45869</v>
      </c>
      <c r="B389" s="49" t="s">
        <v>431</v>
      </c>
      <c r="C389" s="49">
        <v>10012</v>
      </c>
      <c r="D389" s="49">
        <v>3</v>
      </c>
      <c r="E389" s="53">
        <v>11.239999771118164</v>
      </c>
      <c r="F389" s="53">
        <v>33.719999313354492</v>
      </c>
    </row>
    <row r="390" spans="1:6" x14ac:dyDescent="0.25">
      <c r="A390" s="52">
        <v>45870</v>
      </c>
      <c r="B390" s="51" t="s">
        <v>431</v>
      </c>
      <c r="C390" s="51">
        <v>10012</v>
      </c>
      <c r="D390" s="51">
        <v>4</v>
      </c>
      <c r="E390" s="54">
        <v>43.310001373291016</v>
      </c>
      <c r="F390" s="54">
        <v>173.24000549316406</v>
      </c>
    </row>
    <row r="391" spans="1:6" x14ac:dyDescent="0.25">
      <c r="A391" s="50">
        <v>45871</v>
      </c>
      <c r="B391" s="49" t="s">
        <v>431</v>
      </c>
      <c r="C391" s="49">
        <v>10012</v>
      </c>
      <c r="D391" s="49">
        <v>5</v>
      </c>
      <c r="E391" s="53">
        <v>32.5</v>
      </c>
      <c r="F391" s="53">
        <v>162.5</v>
      </c>
    </row>
    <row r="392" spans="1:6" x14ac:dyDescent="0.25">
      <c r="A392" s="52">
        <v>45872</v>
      </c>
      <c r="B392" s="51" t="s">
        <v>431</v>
      </c>
      <c r="C392" s="51">
        <v>10012</v>
      </c>
      <c r="D392" s="51">
        <v>6</v>
      </c>
      <c r="E392" s="54">
        <v>64.319999694824219</v>
      </c>
      <c r="F392" s="54">
        <v>385.91999816894531</v>
      </c>
    </row>
    <row r="393" spans="1:6" x14ac:dyDescent="0.25">
      <c r="A393" s="50">
        <v>45873</v>
      </c>
      <c r="B393" s="49" t="s">
        <v>431</v>
      </c>
      <c r="C393" s="49">
        <v>10012</v>
      </c>
      <c r="D393" s="49">
        <v>5</v>
      </c>
      <c r="E393" s="53">
        <v>12.920000076293945</v>
      </c>
      <c r="F393" s="53">
        <v>64.600000381469727</v>
      </c>
    </row>
    <row r="394" spans="1:6" x14ac:dyDescent="0.25">
      <c r="A394" s="52">
        <v>45874</v>
      </c>
      <c r="B394" s="51" t="s">
        <v>431</v>
      </c>
      <c r="C394" s="51">
        <v>10012</v>
      </c>
      <c r="D394" s="51">
        <v>6</v>
      </c>
      <c r="E394" s="54">
        <v>89.510002136230469</v>
      </c>
      <c r="F394" s="54">
        <v>537.06001281738281</v>
      </c>
    </row>
    <row r="395" spans="1:6" x14ac:dyDescent="0.25">
      <c r="A395" s="50">
        <v>45875</v>
      </c>
      <c r="B395" s="49" t="s">
        <v>431</v>
      </c>
      <c r="C395" s="49">
        <v>10012</v>
      </c>
      <c r="D395" s="49">
        <v>3</v>
      </c>
      <c r="E395" s="53">
        <v>90.970001220703125</v>
      </c>
      <c r="F395" s="53">
        <v>272.91000366210938</v>
      </c>
    </row>
    <row r="396" spans="1:6" x14ac:dyDescent="0.25">
      <c r="A396" s="52">
        <v>45876</v>
      </c>
      <c r="B396" s="51" t="s">
        <v>431</v>
      </c>
      <c r="C396" s="51">
        <v>10012</v>
      </c>
      <c r="D396" s="51">
        <v>5</v>
      </c>
      <c r="E396" s="54">
        <v>65</v>
      </c>
      <c r="F396" s="54">
        <v>325</v>
      </c>
    </row>
    <row r="397" spans="1:6" x14ac:dyDescent="0.25">
      <c r="A397" s="50">
        <v>45877</v>
      </c>
      <c r="B397" s="49" t="s">
        <v>431</v>
      </c>
      <c r="C397" s="49">
        <v>10012</v>
      </c>
      <c r="D397" s="49">
        <v>5</v>
      </c>
      <c r="E397" s="53">
        <v>77.209999084472656</v>
      </c>
      <c r="F397" s="53">
        <v>386.04999542236328</v>
      </c>
    </row>
    <row r="398" spans="1:6" x14ac:dyDescent="0.25">
      <c r="A398" s="52">
        <v>45878</v>
      </c>
      <c r="B398" s="51" t="s">
        <v>431</v>
      </c>
      <c r="C398" s="51">
        <v>10012</v>
      </c>
      <c r="D398" s="51">
        <v>6</v>
      </c>
      <c r="E398" s="54">
        <v>92.459999084472656</v>
      </c>
      <c r="F398" s="54">
        <v>554.75999450683594</v>
      </c>
    </row>
    <row r="399" spans="1:6" x14ac:dyDescent="0.25">
      <c r="A399" s="50">
        <v>45879</v>
      </c>
      <c r="B399" s="49" t="s">
        <v>431</v>
      </c>
      <c r="C399" s="49">
        <v>10012</v>
      </c>
      <c r="D399" s="49">
        <v>1</v>
      </c>
      <c r="E399" s="53">
        <v>65.400001525878906</v>
      </c>
      <c r="F399" s="53">
        <v>65.400001525878906</v>
      </c>
    </row>
    <row r="400" spans="1:6" x14ac:dyDescent="0.25">
      <c r="A400" s="52">
        <v>45880</v>
      </c>
      <c r="B400" s="51" t="s">
        <v>431</v>
      </c>
      <c r="C400" s="51">
        <v>10012</v>
      </c>
      <c r="D400" s="51">
        <v>3</v>
      </c>
      <c r="E400" s="54">
        <v>30.690000534057617</v>
      </c>
      <c r="F400" s="54">
        <v>92.070001602172852</v>
      </c>
    </row>
    <row r="401" spans="1:6" x14ac:dyDescent="0.25">
      <c r="A401" s="50">
        <v>45881</v>
      </c>
      <c r="B401" s="49" t="s">
        <v>431</v>
      </c>
      <c r="C401" s="49">
        <v>10012</v>
      </c>
      <c r="D401" s="49">
        <v>4</v>
      </c>
      <c r="E401" s="53">
        <v>27.25</v>
      </c>
      <c r="F401" s="53">
        <v>109</v>
      </c>
    </row>
    <row r="402" spans="1:6" x14ac:dyDescent="0.25">
      <c r="A402" s="52">
        <v>45882</v>
      </c>
      <c r="B402" s="51" t="s">
        <v>431</v>
      </c>
      <c r="C402" s="51">
        <v>10012</v>
      </c>
      <c r="D402" s="51">
        <v>3</v>
      </c>
      <c r="E402" s="54">
        <v>35.689998626708984</v>
      </c>
      <c r="F402" s="54">
        <v>107.06999588012695</v>
      </c>
    </row>
    <row r="403" spans="1:6" x14ac:dyDescent="0.25">
      <c r="A403" s="50">
        <v>45883</v>
      </c>
      <c r="B403" s="49" t="s">
        <v>431</v>
      </c>
      <c r="C403" s="49">
        <v>10012</v>
      </c>
      <c r="D403" s="49">
        <v>7</v>
      </c>
      <c r="E403" s="53">
        <v>97.739997863769531</v>
      </c>
      <c r="F403" s="53">
        <v>684.17998504638672</v>
      </c>
    </row>
    <row r="404" spans="1:6" x14ac:dyDescent="0.25">
      <c r="A404" s="52">
        <v>45884</v>
      </c>
      <c r="B404" s="51" t="s">
        <v>431</v>
      </c>
      <c r="C404" s="51">
        <v>10012</v>
      </c>
      <c r="D404" s="51">
        <v>4</v>
      </c>
      <c r="E404" s="54">
        <v>29.399999618530273</v>
      </c>
      <c r="F404" s="54">
        <v>117.59999847412109</v>
      </c>
    </row>
    <row r="405" spans="1:6" x14ac:dyDescent="0.25">
      <c r="A405" s="50">
        <v>45885</v>
      </c>
      <c r="B405" s="49" t="s">
        <v>431</v>
      </c>
      <c r="C405" s="49">
        <v>10012</v>
      </c>
      <c r="D405" s="49">
        <v>6</v>
      </c>
      <c r="E405" s="53">
        <v>51.819999694824219</v>
      </c>
      <c r="F405" s="53">
        <v>310.91999816894531</v>
      </c>
    </row>
    <row r="406" spans="1:6" x14ac:dyDescent="0.25">
      <c r="A406" s="52">
        <v>45886</v>
      </c>
      <c r="B406" s="51" t="s">
        <v>431</v>
      </c>
      <c r="C406" s="51">
        <v>10012</v>
      </c>
      <c r="D406" s="51">
        <v>8</v>
      </c>
      <c r="E406" s="54">
        <v>5.9899997711181641</v>
      </c>
      <c r="F406" s="54">
        <v>47.919998168945313</v>
      </c>
    </row>
    <row r="407" spans="1:6" x14ac:dyDescent="0.25">
      <c r="A407" s="50">
        <v>45887</v>
      </c>
      <c r="B407" s="49" t="s">
        <v>431</v>
      </c>
      <c r="C407" s="49">
        <v>10012</v>
      </c>
      <c r="D407" s="49">
        <v>10</v>
      </c>
      <c r="E407" s="53">
        <v>12.039999961853027</v>
      </c>
      <c r="F407" s="53">
        <v>120.39999961853027</v>
      </c>
    </row>
    <row r="408" spans="1:6" x14ac:dyDescent="0.25">
      <c r="A408" s="52">
        <v>45888</v>
      </c>
      <c r="B408" s="51" t="s">
        <v>431</v>
      </c>
      <c r="C408" s="51">
        <v>10012</v>
      </c>
      <c r="D408" s="51">
        <v>6</v>
      </c>
      <c r="E408" s="54">
        <v>68.360000610351563</v>
      </c>
      <c r="F408" s="54">
        <v>410.16000366210938</v>
      </c>
    </row>
    <row r="409" spans="1:6" x14ac:dyDescent="0.25">
      <c r="A409" s="50">
        <v>45859</v>
      </c>
      <c r="B409" s="49" t="s">
        <v>432</v>
      </c>
      <c r="C409" s="49">
        <v>10013</v>
      </c>
      <c r="D409" s="49">
        <v>7</v>
      </c>
      <c r="E409" s="53">
        <v>80.379997253417969</v>
      </c>
      <c r="F409" s="53">
        <v>562.65998077392578</v>
      </c>
    </row>
    <row r="410" spans="1:6" x14ac:dyDescent="0.25">
      <c r="A410" s="52">
        <v>45860</v>
      </c>
      <c r="B410" s="51" t="s">
        <v>432</v>
      </c>
      <c r="C410" s="51">
        <v>10013</v>
      </c>
      <c r="D410" s="51">
        <v>4</v>
      </c>
      <c r="E410" s="54">
        <v>61.279998779296875</v>
      </c>
      <c r="F410" s="54">
        <v>245.1199951171875</v>
      </c>
    </row>
    <row r="411" spans="1:6" x14ac:dyDescent="0.25">
      <c r="A411" s="50">
        <v>45861</v>
      </c>
      <c r="B411" s="49" t="s">
        <v>432</v>
      </c>
      <c r="C411" s="49">
        <v>10013</v>
      </c>
      <c r="D411" s="49">
        <v>5</v>
      </c>
      <c r="E411" s="53">
        <v>31.319999694824219</v>
      </c>
      <c r="F411" s="53">
        <v>156.59999847412109</v>
      </c>
    </row>
    <row r="412" spans="1:6" x14ac:dyDescent="0.25">
      <c r="A412" s="52">
        <v>45862</v>
      </c>
      <c r="B412" s="51" t="s">
        <v>432</v>
      </c>
      <c r="C412" s="51">
        <v>10013</v>
      </c>
      <c r="D412" s="51">
        <v>5</v>
      </c>
      <c r="E412" s="54">
        <v>21.290000915527344</v>
      </c>
      <c r="F412" s="54">
        <v>106.45000457763672</v>
      </c>
    </row>
    <row r="413" spans="1:6" x14ac:dyDescent="0.25">
      <c r="A413" s="50">
        <v>45863</v>
      </c>
      <c r="B413" s="49" t="s">
        <v>432</v>
      </c>
      <c r="C413" s="49">
        <v>10013</v>
      </c>
      <c r="D413" s="49">
        <v>6</v>
      </c>
      <c r="E413" s="53">
        <v>36.909999847412109</v>
      </c>
      <c r="F413" s="53">
        <v>221.45999908447266</v>
      </c>
    </row>
    <row r="414" spans="1:6" x14ac:dyDescent="0.25">
      <c r="A414" s="52">
        <v>45864</v>
      </c>
      <c r="B414" s="51" t="s">
        <v>432</v>
      </c>
      <c r="C414" s="51">
        <v>10013</v>
      </c>
      <c r="D414" s="51">
        <v>4</v>
      </c>
      <c r="E414" s="54">
        <v>27.280000686645508</v>
      </c>
      <c r="F414" s="54">
        <v>109.12000274658203</v>
      </c>
    </row>
    <row r="415" spans="1:6" x14ac:dyDescent="0.25">
      <c r="A415" s="50">
        <v>45865</v>
      </c>
      <c r="B415" s="49" t="s">
        <v>432</v>
      </c>
      <c r="C415" s="49">
        <v>10013</v>
      </c>
      <c r="D415" s="49">
        <v>2</v>
      </c>
      <c r="E415" s="53">
        <v>93.360000610351563</v>
      </c>
      <c r="F415" s="53">
        <v>186.72000122070313</v>
      </c>
    </row>
    <row r="416" spans="1:6" x14ac:dyDescent="0.25">
      <c r="A416" s="52">
        <v>45866</v>
      </c>
      <c r="B416" s="51" t="s">
        <v>432</v>
      </c>
      <c r="C416" s="51">
        <v>10013</v>
      </c>
      <c r="D416" s="51">
        <v>5</v>
      </c>
      <c r="E416" s="54">
        <v>54.439998626708984</v>
      </c>
      <c r="F416" s="54">
        <v>272.19999313354492</v>
      </c>
    </row>
    <row r="417" spans="1:6" x14ac:dyDescent="0.25">
      <c r="A417" s="50">
        <v>45867</v>
      </c>
      <c r="B417" s="49" t="s">
        <v>432</v>
      </c>
      <c r="C417" s="49">
        <v>10013</v>
      </c>
      <c r="D417" s="49">
        <v>6</v>
      </c>
      <c r="E417" s="53">
        <v>22.5</v>
      </c>
      <c r="F417" s="53">
        <v>135</v>
      </c>
    </row>
    <row r="418" spans="1:6" x14ac:dyDescent="0.25">
      <c r="A418" s="52">
        <v>45868</v>
      </c>
      <c r="B418" s="51" t="s">
        <v>432</v>
      </c>
      <c r="C418" s="51">
        <v>10013</v>
      </c>
      <c r="D418" s="51">
        <v>5</v>
      </c>
      <c r="E418" s="54">
        <v>77.900001525878906</v>
      </c>
      <c r="F418" s="54">
        <v>389.50000762939453</v>
      </c>
    </row>
    <row r="419" spans="1:6" x14ac:dyDescent="0.25">
      <c r="A419" s="50">
        <v>45869</v>
      </c>
      <c r="B419" s="49" t="s">
        <v>432</v>
      </c>
      <c r="C419" s="49">
        <v>10013</v>
      </c>
      <c r="D419" s="49">
        <v>4</v>
      </c>
      <c r="E419" s="53">
        <v>45.090000152587891</v>
      </c>
      <c r="F419" s="53">
        <v>180.36000061035156</v>
      </c>
    </row>
    <row r="420" spans="1:6" x14ac:dyDescent="0.25">
      <c r="A420" s="52">
        <v>45870</v>
      </c>
      <c r="B420" s="51" t="s">
        <v>432</v>
      </c>
      <c r="C420" s="51">
        <v>10013</v>
      </c>
      <c r="D420" s="51">
        <v>4</v>
      </c>
      <c r="E420" s="54">
        <v>31.340000152587891</v>
      </c>
      <c r="F420" s="54">
        <v>125.36000061035156</v>
      </c>
    </row>
    <row r="421" spans="1:6" x14ac:dyDescent="0.25">
      <c r="A421" s="50">
        <v>45871</v>
      </c>
      <c r="B421" s="49" t="s">
        <v>432</v>
      </c>
      <c r="C421" s="49">
        <v>10013</v>
      </c>
      <c r="D421" s="49">
        <v>4</v>
      </c>
      <c r="E421" s="53">
        <v>46.700000762939453</v>
      </c>
      <c r="F421" s="53">
        <v>186.80000305175781</v>
      </c>
    </row>
    <row r="422" spans="1:6" x14ac:dyDescent="0.25">
      <c r="A422" s="52">
        <v>45872</v>
      </c>
      <c r="B422" s="51" t="s">
        <v>432</v>
      </c>
      <c r="C422" s="51">
        <v>10013</v>
      </c>
      <c r="D422" s="51">
        <v>0</v>
      </c>
      <c r="E422" s="54">
        <v>9.3500003814697266</v>
      </c>
      <c r="F422" s="54">
        <v>0</v>
      </c>
    </row>
    <row r="423" spans="1:6" x14ac:dyDescent="0.25">
      <c r="A423" s="50">
        <v>45873</v>
      </c>
      <c r="B423" s="49" t="s">
        <v>432</v>
      </c>
      <c r="C423" s="49">
        <v>10013</v>
      </c>
      <c r="D423" s="49">
        <v>7</v>
      </c>
      <c r="E423" s="53">
        <v>50.840000152587891</v>
      </c>
      <c r="F423" s="53">
        <v>355.88000106811523</v>
      </c>
    </row>
    <row r="424" spans="1:6" x14ac:dyDescent="0.25">
      <c r="A424" s="52">
        <v>45874</v>
      </c>
      <c r="B424" s="51" t="s">
        <v>432</v>
      </c>
      <c r="C424" s="51">
        <v>10013</v>
      </c>
      <c r="D424" s="51">
        <v>6</v>
      </c>
      <c r="E424" s="54">
        <v>81.300003051757813</v>
      </c>
      <c r="F424" s="54">
        <v>487.80001831054688</v>
      </c>
    </row>
    <row r="425" spans="1:6" x14ac:dyDescent="0.25">
      <c r="A425" s="50">
        <v>45875</v>
      </c>
      <c r="B425" s="49" t="s">
        <v>432</v>
      </c>
      <c r="C425" s="49">
        <v>10013</v>
      </c>
      <c r="D425" s="49">
        <v>5</v>
      </c>
      <c r="E425" s="53">
        <v>67.519996643066406</v>
      </c>
      <c r="F425" s="53">
        <v>337.59998321533203</v>
      </c>
    </row>
    <row r="426" spans="1:6" x14ac:dyDescent="0.25">
      <c r="A426" s="52">
        <v>45876</v>
      </c>
      <c r="B426" s="51" t="s">
        <v>432</v>
      </c>
      <c r="C426" s="51">
        <v>10013</v>
      </c>
      <c r="D426" s="51">
        <v>5</v>
      </c>
      <c r="E426" s="54">
        <v>58.060001373291016</v>
      </c>
      <c r="F426" s="54">
        <v>290.30000686645508</v>
      </c>
    </row>
    <row r="427" spans="1:6" x14ac:dyDescent="0.25">
      <c r="A427" s="50">
        <v>45877</v>
      </c>
      <c r="B427" s="49" t="s">
        <v>432</v>
      </c>
      <c r="C427" s="49">
        <v>10013</v>
      </c>
      <c r="D427" s="49">
        <v>5</v>
      </c>
      <c r="E427" s="53">
        <v>74.260002136230469</v>
      </c>
      <c r="F427" s="53">
        <v>371.30001068115234</v>
      </c>
    </row>
    <row r="428" spans="1:6" x14ac:dyDescent="0.25">
      <c r="A428" s="52">
        <v>45878</v>
      </c>
      <c r="B428" s="51" t="s">
        <v>432</v>
      </c>
      <c r="C428" s="51">
        <v>10013</v>
      </c>
      <c r="D428" s="51">
        <v>3</v>
      </c>
      <c r="E428" s="54">
        <v>51.709999084472656</v>
      </c>
      <c r="F428" s="54">
        <v>155.12999725341797</v>
      </c>
    </row>
    <row r="429" spans="1:6" x14ac:dyDescent="0.25">
      <c r="A429" s="50">
        <v>45879</v>
      </c>
      <c r="B429" s="49" t="s">
        <v>432</v>
      </c>
      <c r="C429" s="49">
        <v>10013</v>
      </c>
      <c r="D429" s="49">
        <v>5</v>
      </c>
      <c r="E429" s="53">
        <v>55.360000610351563</v>
      </c>
      <c r="F429" s="53">
        <v>276.80000305175781</v>
      </c>
    </row>
    <row r="430" spans="1:6" x14ac:dyDescent="0.25">
      <c r="A430" s="52">
        <v>45880</v>
      </c>
      <c r="B430" s="51" t="s">
        <v>432</v>
      </c>
      <c r="C430" s="51">
        <v>10013</v>
      </c>
      <c r="D430" s="51">
        <v>6</v>
      </c>
      <c r="E430" s="54">
        <v>32.299999237060547</v>
      </c>
      <c r="F430" s="54">
        <v>193.79999542236328</v>
      </c>
    </row>
    <row r="431" spans="1:6" x14ac:dyDescent="0.25">
      <c r="A431" s="50">
        <v>45881</v>
      </c>
      <c r="B431" s="49" t="s">
        <v>432</v>
      </c>
      <c r="C431" s="49">
        <v>10013</v>
      </c>
      <c r="D431" s="49">
        <v>5</v>
      </c>
      <c r="E431" s="53">
        <v>49.029998779296875</v>
      </c>
      <c r="F431" s="53">
        <v>245.14999389648438</v>
      </c>
    </row>
    <row r="432" spans="1:6" x14ac:dyDescent="0.25">
      <c r="A432" s="52">
        <v>45882</v>
      </c>
      <c r="B432" s="51" t="s">
        <v>432</v>
      </c>
      <c r="C432" s="51">
        <v>10013</v>
      </c>
      <c r="D432" s="51">
        <v>3</v>
      </c>
      <c r="E432" s="54">
        <v>29.030000686645508</v>
      </c>
      <c r="F432" s="54">
        <v>87.090002059936523</v>
      </c>
    </row>
    <row r="433" spans="1:6" x14ac:dyDescent="0.25">
      <c r="A433" s="50">
        <v>45883</v>
      </c>
      <c r="B433" s="49" t="s">
        <v>432</v>
      </c>
      <c r="C433" s="49">
        <v>10013</v>
      </c>
      <c r="D433" s="49">
        <v>4</v>
      </c>
      <c r="E433" s="53">
        <v>80.5</v>
      </c>
      <c r="F433" s="53">
        <v>322</v>
      </c>
    </row>
    <row r="434" spans="1:6" x14ac:dyDescent="0.25">
      <c r="A434" s="52">
        <v>45884</v>
      </c>
      <c r="B434" s="51" t="s">
        <v>432</v>
      </c>
      <c r="C434" s="51">
        <v>10013</v>
      </c>
      <c r="D434" s="51">
        <v>6</v>
      </c>
      <c r="E434" s="54">
        <v>82.589996337890625</v>
      </c>
      <c r="F434" s="54">
        <v>495.53997802734375</v>
      </c>
    </row>
    <row r="435" spans="1:6" x14ac:dyDescent="0.25">
      <c r="A435" s="50">
        <v>45885</v>
      </c>
      <c r="B435" s="49" t="s">
        <v>432</v>
      </c>
      <c r="C435" s="49">
        <v>10013</v>
      </c>
      <c r="D435" s="49">
        <v>3</v>
      </c>
      <c r="E435" s="53">
        <v>73.319999694824219</v>
      </c>
      <c r="F435" s="53">
        <v>219.95999908447266</v>
      </c>
    </row>
    <row r="436" spans="1:6" x14ac:dyDescent="0.25">
      <c r="A436" s="52">
        <v>45886</v>
      </c>
      <c r="B436" s="51" t="s">
        <v>432</v>
      </c>
      <c r="C436" s="51">
        <v>10013</v>
      </c>
      <c r="D436" s="51">
        <v>5</v>
      </c>
      <c r="E436" s="54">
        <v>28.549999237060547</v>
      </c>
      <c r="F436" s="54">
        <v>142.74999618530273</v>
      </c>
    </row>
    <row r="437" spans="1:6" x14ac:dyDescent="0.25">
      <c r="A437" s="50">
        <v>45887</v>
      </c>
      <c r="B437" s="49" t="s">
        <v>432</v>
      </c>
      <c r="C437" s="49">
        <v>10013</v>
      </c>
      <c r="D437" s="49">
        <v>2</v>
      </c>
      <c r="E437" s="53">
        <v>44.479999542236328</v>
      </c>
      <c r="F437" s="53">
        <v>88.959999084472656</v>
      </c>
    </row>
    <row r="438" spans="1:6" x14ac:dyDescent="0.25">
      <c r="A438" s="52">
        <v>45888</v>
      </c>
      <c r="B438" s="51" t="s">
        <v>432</v>
      </c>
      <c r="C438" s="51">
        <v>10013</v>
      </c>
      <c r="D438" s="51">
        <v>4</v>
      </c>
      <c r="E438" s="54">
        <v>70.839996337890625</v>
      </c>
      <c r="F438" s="54">
        <v>283.3599853515625</v>
      </c>
    </row>
    <row r="439" spans="1:6" x14ac:dyDescent="0.25">
      <c r="A439" s="50">
        <v>45859</v>
      </c>
      <c r="B439" s="49" t="s">
        <v>433</v>
      </c>
      <c r="C439" s="49">
        <v>10014</v>
      </c>
      <c r="D439" s="49">
        <v>6</v>
      </c>
      <c r="E439" s="53">
        <v>57.990001678466797</v>
      </c>
      <c r="F439" s="53">
        <v>347.94001007080078</v>
      </c>
    </row>
    <row r="440" spans="1:6" x14ac:dyDescent="0.25">
      <c r="A440" s="52">
        <v>45860</v>
      </c>
      <c r="B440" s="51" t="s">
        <v>433</v>
      </c>
      <c r="C440" s="51">
        <v>10014</v>
      </c>
      <c r="D440" s="51">
        <v>10</v>
      </c>
      <c r="E440" s="54">
        <v>87.949996948242188</v>
      </c>
      <c r="F440" s="54">
        <v>879.49996948242188</v>
      </c>
    </row>
    <row r="441" spans="1:6" x14ac:dyDescent="0.25">
      <c r="A441" s="50">
        <v>45861</v>
      </c>
      <c r="B441" s="49" t="s">
        <v>433</v>
      </c>
      <c r="C441" s="49">
        <v>10014</v>
      </c>
      <c r="D441" s="49">
        <v>3</v>
      </c>
      <c r="E441" s="53">
        <v>5.1599998474121094</v>
      </c>
      <c r="F441" s="53">
        <v>15.479999542236328</v>
      </c>
    </row>
    <row r="442" spans="1:6" x14ac:dyDescent="0.25">
      <c r="A442" s="52">
        <v>45862</v>
      </c>
      <c r="B442" s="51" t="s">
        <v>433</v>
      </c>
      <c r="C442" s="51">
        <v>10014</v>
      </c>
      <c r="D442" s="51">
        <v>6</v>
      </c>
      <c r="E442" s="54">
        <v>8.2200002670288086</v>
      </c>
      <c r="F442" s="54">
        <v>49.320001602172852</v>
      </c>
    </row>
    <row r="443" spans="1:6" x14ac:dyDescent="0.25">
      <c r="A443" s="50">
        <v>45863</v>
      </c>
      <c r="B443" s="49" t="s">
        <v>433</v>
      </c>
      <c r="C443" s="49">
        <v>10014</v>
      </c>
      <c r="D443" s="49">
        <v>4</v>
      </c>
      <c r="E443" s="53">
        <v>63.560001373291016</v>
      </c>
      <c r="F443" s="53">
        <v>254.24000549316406</v>
      </c>
    </row>
    <row r="444" spans="1:6" x14ac:dyDescent="0.25">
      <c r="A444" s="52">
        <v>45864</v>
      </c>
      <c r="B444" s="51" t="s">
        <v>433</v>
      </c>
      <c r="C444" s="51">
        <v>10014</v>
      </c>
      <c r="D444" s="51">
        <v>8</v>
      </c>
      <c r="E444" s="54">
        <v>99.489997863769531</v>
      </c>
      <c r="F444" s="54">
        <v>795.91998291015625</v>
      </c>
    </row>
    <row r="445" spans="1:6" x14ac:dyDescent="0.25">
      <c r="A445" s="50">
        <v>45865</v>
      </c>
      <c r="B445" s="49" t="s">
        <v>433</v>
      </c>
      <c r="C445" s="49">
        <v>10014</v>
      </c>
      <c r="D445" s="49">
        <v>0</v>
      </c>
      <c r="E445" s="53">
        <v>50.560001373291016</v>
      </c>
      <c r="F445" s="53">
        <v>0</v>
      </c>
    </row>
    <row r="446" spans="1:6" x14ac:dyDescent="0.25">
      <c r="A446" s="52">
        <v>45866</v>
      </c>
      <c r="B446" s="51" t="s">
        <v>433</v>
      </c>
      <c r="C446" s="51">
        <v>10014</v>
      </c>
      <c r="D446" s="51">
        <v>6</v>
      </c>
      <c r="E446" s="54">
        <v>41.810001373291016</v>
      </c>
      <c r="F446" s="54">
        <v>250.86000823974609</v>
      </c>
    </row>
    <row r="447" spans="1:6" x14ac:dyDescent="0.25">
      <c r="A447" s="50">
        <v>45867</v>
      </c>
      <c r="B447" s="49" t="s">
        <v>433</v>
      </c>
      <c r="C447" s="49">
        <v>10014</v>
      </c>
      <c r="D447" s="49">
        <v>6</v>
      </c>
      <c r="E447" s="53">
        <v>90.870002746582031</v>
      </c>
      <c r="F447" s="53">
        <v>545.22001647949219</v>
      </c>
    </row>
    <row r="448" spans="1:6" x14ac:dyDescent="0.25">
      <c r="A448" s="52">
        <v>45868</v>
      </c>
      <c r="B448" s="51" t="s">
        <v>433</v>
      </c>
      <c r="C448" s="51">
        <v>10014</v>
      </c>
      <c r="D448" s="51">
        <v>5</v>
      </c>
      <c r="E448" s="54">
        <v>46.110000610351563</v>
      </c>
      <c r="F448" s="54">
        <v>230.55000305175781</v>
      </c>
    </row>
    <row r="449" spans="1:6" x14ac:dyDescent="0.25">
      <c r="A449" s="50">
        <v>45869</v>
      </c>
      <c r="B449" s="49" t="s">
        <v>433</v>
      </c>
      <c r="C449" s="49">
        <v>10014</v>
      </c>
      <c r="D449" s="49">
        <v>5</v>
      </c>
      <c r="E449" s="53">
        <v>6.4099998474121094</v>
      </c>
      <c r="F449" s="53">
        <v>32.049999237060547</v>
      </c>
    </row>
    <row r="450" spans="1:6" x14ac:dyDescent="0.25">
      <c r="A450" s="52">
        <v>45870</v>
      </c>
      <c r="B450" s="51" t="s">
        <v>433</v>
      </c>
      <c r="C450" s="51">
        <v>10014</v>
      </c>
      <c r="D450" s="51">
        <v>0</v>
      </c>
      <c r="E450" s="54">
        <v>85.010002136230469</v>
      </c>
      <c r="F450" s="54">
        <v>0</v>
      </c>
    </row>
    <row r="451" spans="1:6" x14ac:dyDescent="0.25">
      <c r="A451" s="50">
        <v>45871</v>
      </c>
      <c r="B451" s="49" t="s">
        <v>433</v>
      </c>
      <c r="C451" s="49">
        <v>10014</v>
      </c>
      <c r="D451" s="49">
        <v>2</v>
      </c>
      <c r="E451" s="53">
        <v>85.569999694824219</v>
      </c>
      <c r="F451" s="53">
        <v>171.13999938964844</v>
      </c>
    </row>
    <row r="452" spans="1:6" x14ac:dyDescent="0.25">
      <c r="A452" s="52">
        <v>45872</v>
      </c>
      <c r="B452" s="51" t="s">
        <v>433</v>
      </c>
      <c r="C452" s="51">
        <v>10014</v>
      </c>
      <c r="D452" s="51">
        <v>6</v>
      </c>
      <c r="E452" s="54">
        <v>71.139999389648438</v>
      </c>
      <c r="F452" s="54">
        <v>426.83999633789063</v>
      </c>
    </row>
    <row r="453" spans="1:6" x14ac:dyDescent="0.25">
      <c r="A453" s="50">
        <v>45873</v>
      </c>
      <c r="B453" s="49" t="s">
        <v>433</v>
      </c>
      <c r="C453" s="49">
        <v>10014</v>
      </c>
      <c r="D453" s="49">
        <v>6</v>
      </c>
      <c r="E453" s="53">
        <v>22.530000686645508</v>
      </c>
      <c r="F453" s="53">
        <v>135.18000411987305</v>
      </c>
    </row>
    <row r="454" spans="1:6" x14ac:dyDescent="0.25">
      <c r="A454" s="52">
        <v>45874</v>
      </c>
      <c r="B454" s="51" t="s">
        <v>433</v>
      </c>
      <c r="C454" s="51">
        <v>10014</v>
      </c>
      <c r="D454" s="51">
        <v>3</v>
      </c>
      <c r="E454" s="54">
        <v>41.650001525878906</v>
      </c>
      <c r="F454" s="54">
        <v>124.95000457763672</v>
      </c>
    </row>
    <row r="455" spans="1:6" x14ac:dyDescent="0.25">
      <c r="A455" s="50">
        <v>45875</v>
      </c>
      <c r="B455" s="49" t="s">
        <v>433</v>
      </c>
      <c r="C455" s="49">
        <v>10014</v>
      </c>
      <c r="D455" s="49">
        <v>5</v>
      </c>
      <c r="E455" s="53">
        <v>61.319999694824219</v>
      </c>
      <c r="F455" s="53">
        <v>306.59999847412109</v>
      </c>
    </row>
    <row r="456" spans="1:6" x14ac:dyDescent="0.25">
      <c r="A456" s="52">
        <v>45876</v>
      </c>
      <c r="B456" s="51" t="s">
        <v>433</v>
      </c>
      <c r="C456" s="51">
        <v>10014</v>
      </c>
      <c r="D456" s="51">
        <v>6</v>
      </c>
      <c r="E456" s="54">
        <v>96.819999694824219</v>
      </c>
      <c r="F456" s="54">
        <v>580.91999816894531</v>
      </c>
    </row>
    <row r="457" spans="1:6" x14ac:dyDescent="0.25">
      <c r="A457" s="50">
        <v>45877</v>
      </c>
      <c r="B457" s="49" t="s">
        <v>433</v>
      </c>
      <c r="C457" s="49">
        <v>10014</v>
      </c>
      <c r="D457" s="49">
        <v>2</v>
      </c>
      <c r="E457" s="53">
        <v>42.840000152587891</v>
      </c>
      <c r="F457" s="53">
        <v>85.680000305175781</v>
      </c>
    </row>
    <row r="458" spans="1:6" x14ac:dyDescent="0.25">
      <c r="A458" s="52">
        <v>45878</v>
      </c>
      <c r="B458" s="51" t="s">
        <v>433</v>
      </c>
      <c r="C458" s="51">
        <v>10014</v>
      </c>
      <c r="D458" s="51">
        <v>3</v>
      </c>
      <c r="E458" s="54">
        <v>53.900001525878906</v>
      </c>
      <c r="F458" s="54">
        <v>161.70000457763672</v>
      </c>
    </row>
    <row r="459" spans="1:6" x14ac:dyDescent="0.25">
      <c r="A459" s="50">
        <v>45879</v>
      </c>
      <c r="B459" s="49" t="s">
        <v>433</v>
      </c>
      <c r="C459" s="49">
        <v>10014</v>
      </c>
      <c r="D459" s="49">
        <v>9</v>
      </c>
      <c r="E459" s="53">
        <v>56.740001678466797</v>
      </c>
      <c r="F459" s="53">
        <v>510.66001510620117</v>
      </c>
    </row>
    <row r="460" spans="1:6" x14ac:dyDescent="0.25">
      <c r="A460" s="52">
        <v>45880</v>
      </c>
      <c r="B460" s="51" t="s">
        <v>433</v>
      </c>
      <c r="C460" s="51">
        <v>10014</v>
      </c>
      <c r="D460" s="51">
        <v>4</v>
      </c>
      <c r="E460" s="54">
        <v>36.590000152587891</v>
      </c>
      <c r="F460" s="54">
        <v>146.36000061035156</v>
      </c>
    </row>
    <row r="461" spans="1:6" x14ac:dyDescent="0.25">
      <c r="A461" s="50">
        <v>45881</v>
      </c>
      <c r="B461" s="49" t="s">
        <v>433</v>
      </c>
      <c r="C461" s="49">
        <v>10014</v>
      </c>
      <c r="D461" s="49">
        <v>7</v>
      </c>
      <c r="E461" s="53">
        <v>59.240001678466797</v>
      </c>
      <c r="F461" s="53">
        <v>414.68001174926758</v>
      </c>
    </row>
    <row r="462" spans="1:6" x14ac:dyDescent="0.25">
      <c r="A462" s="52">
        <v>45882</v>
      </c>
      <c r="B462" s="51" t="s">
        <v>433</v>
      </c>
      <c r="C462" s="51">
        <v>10014</v>
      </c>
      <c r="D462" s="51">
        <v>5</v>
      </c>
      <c r="E462" s="54">
        <v>13.899999618530273</v>
      </c>
      <c r="F462" s="54">
        <v>69.499998092651367</v>
      </c>
    </row>
    <row r="463" spans="1:6" x14ac:dyDescent="0.25">
      <c r="A463" s="50">
        <v>45883</v>
      </c>
      <c r="B463" s="49" t="s">
        <v>433</v>
      </c>
      <c r="C463" s="49">
        <v>10014</v>
      </c>
      <c r="D463" s="49">
        <v>3</v>
      </c>
      <c r="E463" s="53">
        <v>21.079999923706055</v>
      </c>
      <c r="F463" s="53">
        <v>63.239999771118164</v>
      </c>
    </row>
    <row r="464" spans="1:6" x14ac:dyDescent="0.25">
      <c r="A464" s="52">
        <v>45884</v>
      </c>
      <c r="B464" s="51" t="s">
        <v>433</v>
      </c>
      <c r="C464" s="51">
        <v>10014</v>
      </c>
      <c r="D464" s="51">
        <v>4</v>
      </c>
      <c r="E464" s="54">
        <v>31.100000381469727</v>
      </c>
      <c r="F464" s="54">
        <v>124.40000152587891</v>
      </c>
    </row>
    <row r="465" spans="1:6" x14ac:dyDescent="0.25">
      <c r="A465" s="50">
        <v>45885</v>
      </c>
      <c r="B465" s="49" t="s">
        <v>433</v>
      </c>
      <c r="C465" s="49">
        <v>10014</v>
      </c>
      <c r="D465" s="49">
        <v>7</v>
      </c>
      <c r="E465" s="53">
        <v>9.1700000762939453</v>
      </c>
      <c r="F465" s="53">
        <v>64.190000534057617</v>
      </c>
    </row>
    <row r="466" spans="1:6" x14ac:dyDescent="0.25">
      <c r="A466" s="52">
        <v>45886</v>
      </c>
      <c r="B466" s="51" t="s">
        <v>433</v>
      </c>
      <c r="C466" s="51">
        <v>10014</v>
      </c>
      <c r="D466" s="51">
        <v>2</v>
      </c>
      <c r="E466" s="54">
        <v>49.169998168945313</v>
      </c>
      <c r="F466" s="54">
        <v>98.339996337890625</v>
      </c>
    </row>
    <row r="467" spans="1:6" x14ac:dyDescent="0.25">
      <c r="A467" s="50">
        <v>45887</v>
      </c>
      <c r="B467" s="49" t="s">
        <v>433</v>
      </c>
      <c r="C467" s="49">
        <v>10014</v>
      </c>
      <c r="D467" s="49">
        <v>4</v>
      </c>
      <c r="E467" s="53">
        <v>8.7399997711181641</v>
      </c>
      <c r="F467" s="53">
        <v>34.959999084472656</v>
      </c>
    </row>
    <row r="468" spans="1:6" x14ac:dyDescent="0.25">
      <c r="A468" s="52">
        <v>45888</v>
      </c>
      <c r="B468" s="51" t="s">
        <v>433</v>
      </c>
      <c r="C468" s="51">
        <v>10014</v>
      </c>
      <c r="D468" s="51">
        <v>4</v>
      </c>
      <c r="E468" s="54">
        <v>42.939998626708984</v>
      </c>
      <c r="F468" s="54">
        <v>171.75999450683594</v>
      </c>
    </row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204DA3-D886-4D8A-BF3C-4EBEC53508C6}">
  <sheetPr codeName="Sheet13"/>
  <dimension ref="A1:R19"/>
  <sheetViews>
    <sheetView showGridLines="0" zoomScale="130" zoomScaleNormal="130" workbookViewId="0">
      <selection activeCell="I19" sqref="I19"/>
    </sheetView>
  </sheetViews>
  <sheetFormatPr defaultRowHeight="15" x14ac:dyDescent="0.25"/>
  <cols>
    <col min="1" max="1" width="19.140625" bestFit="1" customWidth="1"/>
    <col min="2" max="2" width="9.7109375" bestFit="1" customWidth="1"/>
    <col min="3" max="3" width="15.140625" bestFit="1" customWidth="1"/>
    <col min="4" max="4" width="16.7109375" bestFit="1" customWidth="1"/>
    <col min="5" max="5" width="17.7109375" bestFit="1" customWidth="1"/>
    <col min="6" max="6" width="20.28515625" bestFit="1" customWidth="1"/>
    <col min="7" max="7" width="15.140625" bestFit="1" customWidth="1"/>
    <col min="8" max="8" width="13.85546875" bestFit="1" customWidth="1"/>
    <col min="9" max="9" width="16.42578125" bestFit="1" customWidth="1"/>
    <col min="10" max="10" width="20.7109375" bestFit="1" customWidth="1"/>
    <col min="11" max="11" width="7.7109375" bestFit="1" customWidth="1"/>
    <col min="12" max="12" width="11.7109375" bestFit="1" customWidth="1"/>
    <col min="13" max="13" width="15.7109375" bestFit="1" customWidth="1"/>
    <col min="14" max="14" width="13" bestFit="1" customWidth="1"/>
    <col min="15" max="15" width="15.7109375" bestFit="1" customWidth="1"/>
  </cols>
  <sheetData>
    <row r="1" spans="1:18" x14ac:dyDescent="0.25">
      <c r="A1" s="119" t="s">
        <v>438</v>
      </c>
      <c r="B1" s="119"/>
      <c r="C1" s="119"/>
      <c r="D1" s="119"/>
      <c r="E1" s="119"/>
      <c r="F1" s="119"/>
      <c r="G1" s="119"/>
      <c r="H1" s="119"/>
      <c r="I1" s="119"/>
      <c r="J1" s="119"/>
      <c r="K1" s="119"/>
      <c r="L1" s="119"/>
      <c r="M1" s="119"/>
      <c r="N1" s="119"/>
      <c r="O1" s="119"/>
      <c r="P1" s="119"/>
      <c r="Q1" s="119"/>
      <c r="R1" s="119"/>
    </row>
    <row r="2" spans="1:18" x14ac:dyDescent="0.25">
      <c r="A2" s="119"/>
      <c r="B2" s="119"/>
      <c r="C2" s="119"/>
      <c r="D2" s="119"/>
      <c r="E2" s="119"/>
      <c r="F2" s="119"/>
      <c r="G2" s="119"/>
      <c r="H2" s="119"/>
      <c r="I2" s="119"/>
      <c r="J2" s="119"/>
      <c r="K2" s="119"/>
      <c r="L2" s="119"/>
      <c r="M2" s="119"/>
      <c r="N2" s="119"/>
      <c r="O2" s="119"/>
      <c r="P2" s="119"/>
      <c r="Q2" s="119"/>
      <c r="R2" s="119"/>
    </row>
    <row r="4" spans="1:18" x14ac:dyDescent="0.25">
      <c r="A4" s="48" t="s">
        <v>109</v>
      </c>
      <c r="B4" s="48" t="s">
        <v>110</v>
      </c>
      <c r="C4" s="48" t="s">
        <v>417</v>
      </c>
      <c r="D4" s="48" t="s">
        <v>418</v>
      </c>
      <c r="E4" s="48" t="s">
        <v>439</v>
      </c>
      <c r="F4" s="48" t="s">
        <v>440</v>
      </c>
      <c r="G4" s="48" t="s">
        <v>441</v>
      </c>
      <c r="H4" s="48" t="s">
        <v>442</v>
      </c>
      <c r="I4" s="48" t="s">
        <v>443</v>
      </c>
      <c r="J4" s="48" t="s">
        <v>444</v>
      </c>
      <c r="K4" s="48" t="s">
        <v>445</v>
      </c>
      <c r="L4" s="48" t="s">
        <v>449</v>
      </c>
      <c r="M4" s="48" t="s">
        <v>450</v>
      </c>
      <c r="N4" s="48" t="s">
        <v>451</v>
      </c>
      <c r="O4" s="48" t="s">
        <v>452</v>
      </c>
    </row>
    <row r="5" spans="1:18" x14ac:dyDescent="0.25">
      <c r="A5" s="49" t="s">
        <v>419</v>
      </c>
      <c r="B5" s="49">
        <v>10000</v>
      </c>
      <c r="C5" s="55">
        <v>174</v>
      </c>
      <c r="D5" s="55">
        <v>94</v>
      </c>
      <c r="E5" s="57">
        <v>156</v>
      </c>
      <c r="F5" s="57">
        <v>5.2</v>
      </c>
      <c r="G5" s="53">
        <v>47.673782051282046</v>
      </c>
      <c r="H5" s="53">
        <v>7437.11</v>
      </c>
      <c r="I5" s="57">
        <v>1.164179104477612</v>
      </c>
      <c r="J5" s="59">
        <v>33.46153846153846</v>
      </c>
      <c r="K5" s="49"/>
      <c r="L5" s="120" t="s">
        <v>455</v>
      </c>
      <c r="M5" s="121">
        <v>47.4</v>
      </c>
      <c r="N5" s="120"/>
      <c r="O5" s="122">
        <v>150</v>
      </c>
    </row>
    <row r="6" spans="1:18" x14ac:dyDescent="0.25">
      <c r="A6" s="51" t="s">
        <v>420</v>
      </c>
      <c r="B6" s="51">
        <v>10001</v>
      </c>
      <c r="C6" s="56">
        <v>135</v>
      </c>
      <c r="D6" s="56">
        <v>117</v>
      </c>
      <c r="E6" s="58">
        <v>178</v>
      </c>
      <c r="F6" s="58">
        <v>5.9333333333333336</v>
      </c>
      <c r="G6" s="54">
        <v>51.59983146067416</v>
      </c>
      <c r="H6" s="54">
        <v>9184.77</v>
      </c>
      <c r="I6" s="58">
        <v>1.4126984126984128</v>
      </c>
      <c r="J6" s="60">
        <v>22.752808988764045</v>
      </c>
      <c r="K6" s="51"/>
      <c r="L6" s="120" t="s">
        <v>454</v>
      </c>
      <c r="M6" s="121">
        <v>106.93333333333334</v>
      </c>
      <c r="N6" s="120"/>
      <c r="O6" s="122">
        <v>34</v>
      </c>
    </row>
    <row r="7" spans="1:18" x14ac:dyDescent="0.25">
      <c r="A7" s="49" t="s">
        <v>421</v>
      </c>
      <c r="B7" s="49">
        <v>10002</v>
      </c>
      <c r="C7" s="55">
        <v>185</v>
      </c>
      <c r="D7" s="55">
        <v>65</v>
      </c>
      <c r="E7" s="57">
        <v>157</v>
      </c>
      <c r="F7" s="57">
        <v>5.2333333333333334</v>
      </c>
      <c r="G7" s="53">
        <v>60.65133757961781</v>
      </c>
      <c r="H7" s="53">
        <v>9522.2599999999966</v>
      </c>
      <c r="I7" s="57">
        <v>1.256</v>
      </c>
      <c r="J7" s="59">
        <v>35.35031847133758</v>
      </c>
      <c r="K7" s="49"/>
      <c r="L7" s="120" t="s">
        <v>456</v>
      </c>
      <c r="M7" s="121">
        <v>117.9</v>
      </c>
      <c r="N7" s="120"/>
      <c r="O7" s="122">
        <v>42</v>
      </c>
    </row>
    <row r="8" spans="1:18" x14ac:dyDescent="0.25">
      <c r="A8" s="51" t="s">
        <v>422</v>
      </c>
      <c r="B8" s="51">
        <v>10003</v>
      </c>
      <c r="C8" s="56">
        <v>102</v>
      </c>
      <c r="D8" s="56">
        <v>45</v>
      </c>
      <c r="E8" s="58">
        <v>171</v>
      </c>
      <c r="F8" s="58">
        <v>5.7</v>
      </c>
      <c r="G8" s="54">
        <v>47.15830409356726</v>
      </c>
      <c r="H8" s="54">
        <v>8064.0700000000015</v>
      </c>
      <c r="I8" s="58">
        <v>2.3265306122448979</v>
      </c>
      <c r="J8" s="60">
        <v>17.894736842105264</v>
      </c>
      <c r="K8" s="51"/>
      <c r="L8" s="120" t="s">
        <v>454</v>
      </c>
      <c r="M8" s="121">
        <v>51.6</v>
      </c>
      <c r="N8" s="120"/>
      <c r="O8" s="122">
        <v>172</v>
      </c>
    </row>
    <row r="9" spans="1:18" x14ac:dyDescent="0.25">
      <c r="A9" s="49" t="s">
        <v>423</v>
      </c>
      <c r="B9" s="49">
        <v>10004</v>
      </c>
      <c r="C9" s="55">
        <v>111</v>
      </c>
      <c r="D9" s="55">
        <v>122</v>
      </c>
      <c r="E9" s="57">
        <v>149</v>
      </c>
      <c r="F9" s="57">
        <v>4.9666666666666668</v>
      </c>
      <c r="G9" s="53">
        <v>50.146107382550326</v>
      </c>
      <c r="H9" s="53">
        <v>7471.7699999999986</v>
      </c>
      <c r="I9" s="57">
        <v>1.2789699570815452</v>
      </c>
      <c r="J9" s="59">
        <v>22.348993288590602</v>
      </c>
      <c r="K9" s="49"/>
      <c r="L9" s="120" t="s">
        <v>455</v>
      </c>
      <c r="M9" s="121">
        <v>69.566666666666663</v>
      </c>
      <c r="N9" s="120"/>
      <c r="O9" s="122">
        <v>83</v>
      </c>
    </row>
    <row r="10" spans="1:18" x14ac:dyDescent="0.25">
      <c r="A10" s="51" t="s">
        <v>424</v>
      </c>
      <c r="B10" s="51">
        <v>10005</v>
      </c>
      <c r="C10" s="56">
        <v>176</v>
      </c>
      <c r="D10" s="56">
        <v>58</v>
      </c>
      <c r="E10" s="58">
        <v>154</v>
      </c>
      <c r="F10" s="58">
        <v>5.1333333333333337</v>
      </c>
      <c r="G10" s="54">
        <v>58.884415584415578</v>
      </c>
      <c r="H10" s="54">
        <v>9068.1999999999989</v>
      </c>
      <c r="I10" s="58">
        <v>1.3162393162393162</v>
      </c>
      <c r="J10" s="60">
        <v>34.285714285714285</v>
      </c>
      <c r="K10" s="51"/>
      <c r="L10" s="120" t="s">
        <v>454</v>
      </c>
      <c r="M10" s="121">
        <v>80.866666666666674</v>
      </c>
      <c r="N10" s="120"/>
      <c r="O10" s="122">
        <v>178</v>
      </c>
    </row>
    <row r="11" spans="1:18" x14ac:dyDescent="0.25">
      <c r="A11" s="49" t="s">
        <v>425</v>
      </c>
      <c r="B11" s="49">
        <v>10006</v>
      </c>
      <c r="C11" s="55">
        <v>155</v>
      </c>
      <c r="D11" s="55">
        <v>133</v>
      </c>
      <c r="E11" s="57">
        <v>159</v>
      </c>
      <c r="F11" s="57">
        <v>5.3</v>
      </c>
      <c r="G11" s="53">
        <v>52.50050314465409</v>
      </c>
      <c r="H11" s="53">
        <v>8347.58</v>
      </c>
      <c r="I11" s="57">
        <v>1.1041666666666667</v>
      </c>
      <c r="J11" s="59">
        <v>29.245283018867926</v>
      </c>
      <c r="K11" s="49"/>
      <c r="L11" s="120" t="s">
        <v>454</v>
      </c>
      <c r="M11" s="121">
        <v>55.699999999999996</v>
      </c>
      <c r="N11" s="120"/>
      <c r="O11" s="122">
        <v>159</v>
      </c>
    </row>
    <row r="12" spans="1:18" x14ac:dyDescent="0.25">
      <c r="A12" s="51" t="s">
        <v>426</v>
      </c>
      <c r="B12" s="51">
        <v>10007</v>
      </c>
      <c r="C12" s="56">
        <v>125</v>
      </c>
      <c r="D12" s="56">
        <v>77</v>
      </c>
      <c r="E12" s="58">
        <v>146</v>
      </c>
      <c r="F12" s="58">
        <v>4.8666666666666663</v>
      </c>
      <c r="G12" s="54">
        <v>51.453150684931508</v>
      </c>
      <c r="H12" s="54">
        <v>7512.16</v>
      </c>
      <c r="I12" s="58">
        <v>1.4455445544554455</v>
      </c>
      <c r="J12" s="60">
        <v>25.684931506849317</v>
      </c>
      <c r="K12" s="51"/>
      <c r="L12" s="120" t="s">
        <v>455</v>
      </c>
      <c r="M12" s="121">
        <v>83.133333333333326</v>
      </c>
      <c r="N12" s="120"/>
      <c r="O12" s="122">
        <v>35</v>
      </c>
    </row>
    <row r="13" spans="1:18" x14ac:dyDescent="0.25">
      <c r="A13" s="49" t="s">
        <v>427</v>
      </c>
      <c r="B13" s="49">
        <v>10008</v>
      </c>
      <c r="C13" s="55">
        <v>125</v>
      </c>
      <c r="D13" s="55">
        <v>86</v>
      </c>
      <c r="E13" s="57">
        <v>156</v>
      </c>
      <c r="F13" s="57">
        <v>5.2</v>
      </c>
      <c r="G13" s="53">
        <v>52.889102564102558</v>
      </c>
      <c r="H13" s="53">
        <v>8250.6999999999989</v>
      </c>
      <c r="I13" s="57">
        <v>1.4786729857819905</v>
      </c>
      <c r="J13" s="59">
        <v>24.038461538461537</v>
      </c>
      <c r="K13" s="49"/>
      <c r="L13" s="120" t="s">
        <v>454</v>
      </c>
      <c r="M13" s="121">
        <v>48.4</v>
      </c>
      <c r="N13" s="120"/>
      <c r="O13" s="122">
        <v>123</v>
      </c>
    </row>
    <row r="14" spans="1:18" x14ac:dyDescent="0.25">
      <c r="A14" s="51" t="s">
        <v>428</v>
      </c>
      <c r="B14" s="51">
        <v>10009</v>
      </c>
      <c r="C14" s="56">
        <v>191</v>
      </c>
      <c r="D14" s="56">
        <v>65</v>
      </c>
      <c r="E14" s="58">
        <v>128</v>
      </c>
      <c r="F14" s="58">
        <v>4.2666666666666666</v>
      </c>
      <c r="G14" s="54">
        <v>60.820078124999995</v>
      </c>
      <c r="H14" s="54">
        <v>7784.9699999999993</v>
      </c>
      <c r="I14" s="58">
        <v>1</v>
      </c>
      <c r="J14" s="60">
        <v>44.765625</v>
      </c>
      <c r="K14" s="51"/>
      <c r="L14" s="120" t="s">
        <v>455</v>
      </c>
      <c r="M14" s="121">
        <v>48.666666666666664</v>
      </c>
      <c r="N14" s="120"/>
      <c r="O14" s="122">
        <v>178</v>
      </c>
    </row>
    <row r="15" spans="1:18" x14ac:dyDescent="0.25">
      <c r="A15" s="49" t="s">
        <v>429</v>
      </c>
      <c r="B15" s="49">
        <v>10010</v>
      </c>
      <c r="C15" s="55">
        <v>147</v>
      </c>
      <c r="D15" s="55">
        <v>107</v>
      </c>
      <c r="E15" s="57">
        <v>151</v>
      </c>
      <c r="F15" s="57">
        <v>5.0333333333333332</v>
      </c>
      <c r="G15" s="53">
        <v>62.426953642384099</v>
      </c>
      <c r="H15" s="53">
        <v>9426.4699999999993</v>
      </c>
      <c r="I15" s="57">
        <v>1.188976377952756</v>
      </c>
      <c r="J15" s="59">
        <v>29.205298013245034</v>
      </c>
      <c r="K15" s="49"/>
      <c r="L15" s="120" t="s">
        <v>456</v>
      </c>
      <c r="M15" s="121">
        <v>55.333333333333329</v>
      </c>
      <c r="N15" s="120"/>
      <c r="O15" s="122">
        <v>164</v>
      </c>
    </row>
    <row r="16" spans="1:18" x14ac:dyDescent="0.25">
      <c r="A16" s="51" t="s">
        <v>430</v>
      </c>
      <c r="B16" s="51">
        <v>10011</v>
      </c>
      <c r="C16" s="56">
        <v>197</v>
      </c>
      <c r="D16" s="56">
        <v>61</v>
      </c>
      <c r="E16" s="58">
        <v>167</v>
      </c>
      <c r="F16" s="58">
        <v>5.5666666666666664</v>
      </c>
      <c r="G16" s="54">
        <v>55.209820359281444</v>
      </c>
      <c r="H16" s="54">
        <v>9220.0400000000009</v>
      </c>
      <c r="I16" s="58">
        <v>1.2945736434108528</v>
      </c>
      <c r="J16" s="60">
        <v>35.389221556886227</v>
      </c>
      <c r="K16" s="51"/>
      <c r="L16" s="120" t="s">
        <v>456</v>
      </c>
      <c r="M16" s="121">
        <v>104.63333333333333</v>
      </c>
      <c r="N16" s="120"/>
      <c r="O16" s="122">
        <v>162</v>
      </c>
    </row>
    <row r="17" spans="1:15" x14ac:dyDescent="0.25">
      <c r="A17" s="49" t="s">
        <v>431</v>
      </c>
      <c r="B17" s="49">
        <v>10012</v>
      </c>
      <c r="C17" s="55">
        <v>100</v>
      </c>
      <c r="D17" s="55">
        <v>90</v>
      </c>
      <c r="E17" s="57">
        <v>149</v>
      </c>
      <c r="F17" s="57">
        <v>4.9666666666666668</v>
      </c>
      <c r="G17" s="53">
        <v>52.620134228187915</v>
      </c>
      <c r="H17" s="53">
        <v>7840.4</v>
      </c>
      <c r="I17" s="57">
        <v>1.5684210526315789</v>
      </c>
      <c r="J17" s="59">
        <v>20.134228187919462</v>
      </c>
      <c r="K17" s="49"/>
      <c r="L17" s="120" t="s">
        <v>455</v>
      </c>
      <c r="M17" s="121">
        <v>100.4</v>
      </c>
      <c r="N17" s="120" t="s">
        <v>453</v>
      </c>
      <c r="O17" s="122">
        <v>41</v>
      </c>
    </row>
    <row r="18" spans="1:15" x14ac:dyDescent="0.25">
      <c r="A18" s="51" t="s">
        <v>432</v>
      </c>
      <c r="B18" s="51">
        <v>10013</v>
      </c>
      <c r="C18" s="56">
        <v>61</v>
      </c>
      <c r="D18" s="56">
        <v>103</v>
      </c>
      <c r="E18" s="58">
        <v>135</v>
      </c>
      <c r="F18" s="58">
        <v>4.5</v>
      </c>
      <c r="G18" s="54">
        <v>53.561259259259259</v>
      </c>
      <c r="H18" s="54">
        <v>7230.77</v>
      </c>
      <c r="I18" s="58">
        <v>1.6463414634146341</v>
      </c>
      <c r="J18" s="60">
        <v>13.555555555555555</v>
      </c>
      <c r="K18" s="51"/>
      <c r="L18" s="120" t="s">
        <v>455</v>
      </c>
      <c r="M18" s="121">
        <v>99</v>
      </c>
      <c r="N18" s="120" t="s">
        <v>453</v>
      </c>
      <c r="O18" s="122">
        <v>19</v>
      </c>
    </row>
    <row r="19" spans="1:15" x14ac:dyDescent="0.25">
      <c r="A19" s="49" t="s">
        <v>433</v>
      </c>
      <c r="B19" s="49">
        <v>10014</v>
      </c>
      <c r="C19" s="55">
        <v>138</v>
      </c>
      <c r="D19" s="55">
        <v>52</v>
      </c>
      <c r="E19" s="57">
        <v>141</v>
      </c>
      <c r="F19" s="57">
        <v>4.7</v>
      </c>
      <c r="G19" s="53">
        <v>50.299148936170212</v>
      </c>
      <c r="H19" s="53">
        <v>7092.18</v>
      </c>
      <c r="I19" s="57">
        <v>1.4842105263157894</v>
      </c>
      <c r="J19" s="59">
        <v>29.361702127659573</v>
      </c>
      <c r="K19" s="49"/>
      <c r="L19" s="120" t="s">
        <v>455</v>
      </c>
      <c r="M19" s="121">
        <v>51.6</v>
      </c>
      <c r="N19" s="120"/>
      <c r="O19" s="122">
        <v>91</v>
      </c>
    </row>
  </sheetData>
  <mergeCells count="1">
    <mergeCell ref="A1:R2"/>
  </mergeCells>
  <conditionalFormatting sqref="N5:N19">
    <cfRule type="containsText" dxfId="7" priority="1" stopIfTrue="1" operator="containsText" text="ORDER NOW">
      <formula>NOT(ISERROR(SEARCH("ORDER NOW",N5)))</formula>
    </cfRule>
  </conditionalFormatting>
  <conditionalFormatting sqref="O5:O19">
    <cfRule type="cellIs" dxfId="6" priority="2" stopIfTrue="1" operator="lessThan">
      <formula>30</formula>
    </cfRule>
  </conditionalFormatting>
  <conditionalFormatting sqref="L5:L19">
    <cfRule type="cellIs" dxfId="5" priority="3" stopIfTrue="1" operator="equal">
      <formula>"A"</formula>
    </cfRule>
  </conditionalFormatting>
  <pageMargins left="0.7" right="0.7" top="0.75" bottom="0.75" header="0.3" footer="0.3"/>
  <drawing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23C6DAE17F87244877C41CC26484B8F" ma:contentTypeVersion="10" ma:contentTypeDescription="Create a new document." ma:contentTypeScope="" ma:versionID="9d3fb0951d67cf135829f28bb7160889">
  <xsd:schema xmlns:xsd="http://www.w3.org/2001/XMLSchema" xmlns:xs="http://www.w3.org/2001/XMLSchema" xmlns:p="http://schemas.microsoft.com/office/2006/metadata/properties" xmlns:ns3="634928a7-1125-445b-ac36-9f725ef94a3a" targetNamespace="http://schemas.microsoft.com/office/2006/metadata/properties" ma:root="true" ma:fieldsID="54747c91aea322e0ee6e9798c21c99bd" ns3:_="">
    <xsd:import namespace="634928a7-1125-445b-ac36-9f725ef94a3a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_activity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34928a7-1125-445b-ac36-9f725ef94a3a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_activity" ma:index="9" nillable="true" ma:displayName="_activity" ma:hidden="true" ma:internalName="_activity">
      <xsd:simpleType>
        <xsd:restriction base="dms:Note"/>
      </xsd:simpleType>
    </xsd:element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14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�� 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634928a7-1125-445b-ac36-9f725ef94a3a" xsi:nil="true"/>
  </documentManagement>
</p:properties>
</file>

<file path=customXml/itemProps1.xml><?xml version="1.0" encoding="utf-8"?>
<ds:datastoreItem xmlns:ds="http://schemas.openxmlformats.org/officeDocument/2006/customXml" ds:itemID="{17E82D41-DDFD-4CE4-9413-DE884F33DBB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34928a7-1125-445b-ac36-9f725ef94a3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02E4C34-DAC6-49CF-90FF-011B05743530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9FA70296-712F-4012-8D6A-2F3504CB54B7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14402E2D-0929-4384-9231-B3CAD2EDBF1E}">
  <ds:schemaRefs>
    <ds:schemaRef ds:uri="http://schemas.microsoft.com/office/2006/metadata/properties"/>
    <ds:schemaRef ds:uri="http://www.w3.org/XML/1998/namespace"/>
    <ds:schemaRef ds:uri="http://schemas.microsoft.com/office/infopath/2007/PartnerControls"/>
    <ds:schemaRef ds:uri="http://schemas.openxmlformats.org/package/2006/metadata/core-properties"/>
    <ds:schemaRef ds:uri="http://purl.org/dc/dcmitype/"/>
    <ds:schemaRef ds:uri="http://schemas.microsoft.com/office/2006/documentManagement/types"/>
    <ds:schemaRef ds:uri="http://purl.org/dc/terms/"/>
    <ds:schemaRef ds:uri="634928a7-1125-445b-ac36-9f725ef94a3a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About</vt:lpstr>
      <vt:lpstr>HOME</vt:lpstr>
      <vt:lpstr>NDC_Tech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Okeke, Cornelia</dc:creator>
  <cp:keywords/>
  <dc:description/>
  <cp:lastModifiedBy>D Rektom</cp:lastModifiedBy>
  <cp:revision/>
  <cp:lastPrinted>2025-08-16T01:32:59Z</cp:lastPrinted>
  <dcterms:created xsi:type="dcterms:W3CDTF">2025-07-03T14:42:49Z</dcterms:created>
  <dcterms:modified xsi:type="dcterms:W3CDTF">2025-08-19T05:31:21Z</dcterms:modified>
  <cp:category/>
  <cp:contentStatus/>
</cp:coreProperties>
</file>

<file path=docProps/core0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/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0x010100923C6DAE17F87244877C41CC26484B8F</vt:lpwstr>
  </property>
</Properties>
</file>